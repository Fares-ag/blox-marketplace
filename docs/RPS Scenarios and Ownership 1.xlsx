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samridhimalhan/Downloads/Projects/Blox/Requirement Gathering/"/>
    </mc:Choice>
  </mc:AlternateContent>
  <xr:revisionPtr revIDLastSave="0" documentId="8_{4D5775D8-675A-E14D-B836-0A2D72B5C8EA}" xr6:coauthVersionLast="47" xr6:coauthVersionMax="47" xr10:uidLastSave="{00000000-0000-0000-0000-000000000000}"/>
  <bookViews>
    <workbookView xWindow="0" yWindow="500" windowWidth="28800" windowHeight="16280" activeTab="4" xr2:uid="{242FF943-AAB2-164D-96DD-D97C56A0CA0C}"/>
  </bookViews>
  <sheets>
    <sheet name="Scenarios" sheetId="3" r:id="rId1"/>
    <sheet name="Disbursement and due date same" sheetId="2" r:id="rId2"/>
    <sheet name="Disbursement before 15" sheetId="4" r:id="rId3"/>
    <sheet name="Disbursement after 15" sheetId="5" r:id="rId4"/>
    <sheet name="Loan with deferral" sheetId="6" r:id="rId5"/>
    <sheet name="Part Payment received in BPI" sheetId="7" r:id="rId6"/>
    <sheet name="PP after BPI" sheetId="8" r:id="rId7"/>
    <sheet name="Foreclosure of loan" sheetId="9" r:id="rId8"/>
    <sheet name="OTS and Write off" sheetId="10"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12" i="9" l="1"/>
  <c r="E7" i="9"/>
  <c r="H18" i="10"/>
  <c r="I18" i="10" s="1"/>
  <c r="F18" i="10"/>
  <c r="B18" i="10"/>
  <c r="C18" i="10" s="1"/>
  <c r="B12" i="10"/>
  <c r="C13" i="10" s="1"/>
  <c r="C17" i="10"/>
  <c r="C16" i="10"/>
  <c r="C15" i="10"/>
  <c r="C14" i="10"/>
  <c r="B5" i="10"/>
  <c r="B6" i="10" s="1"/>
  <c r="C18" i="9"/>
  <c r="C17" i="9"/>
  <c r="C16" i="9"/>
  <c r="C15" i="9"/>
  <c r="C14" i="9"/>
  <c r="C13" i="9"/>
  <c r="B5" i="9"/>
  <c r="B6" i="9" s="1"/>
  <c r="C47" i="8"/>
  <c r="C46" i="8"/>
  <c r="C45" i="8"/>
  <c r="C44" i="8"/>
  <c r="C43" i="8"/>
  <c r="C42" i="8"/>
  <c r="C41" i="8"/>
  <c r="C40" i="8"/>
  <c r="C39" i="8"/>
  <c r="C38" i="8"/>
  <c r="C37" i="8"/>
  <c r="C36" i="8"/>
  <c r="C35" i="8"/>
  <c r="C34" i="8"/>
  <c r="C33" i="8"/>
  <c r="C32" i="8"/>
  <c r="C31" i="8"/>
  <c r="C30" i="8"/>
  <c r="C29" i="8"/>
  <c r="C28" i="8"/>
  <c r="C27" i="8"/>
  <c r="C26" i="8"/>
  <c r="C25" i="8"/>
  <c r="C24" i="8"/>
  <c r="C23" i="8"/>
  <c r="C22" i="8"/>
  <c r="C21" i="8"/>
  <c r="C20" i="8"/>
  <c r="B18" i="8"/>
  <c r="C19" i="8" s="1"/>
  <c r="C17" i="8"/>
  <c r="C16" i="8"/>
  <c r="C15" i="8"/>
  <c r="C14" i="8"/>
  <c r="B12" i="8"/>
  <c r="C13" i="8" s="1"/>
  <c r="B5" i="8"/>
  <c r="B6" i="8" s="1"/>
  <c r="C47" i="7"/>
  <c r="C46" i="7"/>
  <c r="C45" i="7"/>
  <c r="C44" i="7"/>
  <c r="C43" i="7"/>
  <c r="C42" i="7"/>
  <c r="C41" i="7"/>
  <c r="C40" i="7"/>
  <c r="C39" i="7"/>
  <c r="C38" i="7"/>
  <c r="C37" i="7"/>
  <c r="C36" i="7"/>
  <c r="C35" i="7"/>
  <c r="C34" i="7"/>
  <c r="C33" i="7"/>
  <c r="C32" i="7"/>
  <c r="C31" i="7"/>
  <c r="C30" i="7"/>
  <c r="C29" i="7"/>
  <c r="C28" i="7"/>
  <c r="C27" i="7"/>
  <c r="C26" i="7"/>
  <c r="C25" i="7"/>
  <c r="C24" i="7"/>
  <c r="C23" i="7"/>
  <c r="C22" i="7"/>
  <c r="C21" i="7"/>
  <c r="C20" i="7"/>
  <c r="C19" i="7"/>
  <c r="C18" i="7"/>
  <c r="C17" i="7"/>
  <c r="C16" i="7"/>
  <c r="C15" i="7"/>
  <c r="C14" i="7"/>
  <c r="B12" i="7"/>
  <c r="C13" i="7" s="1"/>
  <c r="B5" i="7"/>
  <c r="B6" i="7" s="1"/>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G15" i="6"/>
  <c r="H15" i="6" s="1"/>
  <c r="I15" i="6" s="1"/>
  <c r="C15" i="6"/>
  <c r="G14" i="6"/>
  <c r="E15" i="6" s="1"/>
  <c r="C14" i="6"/>
  <c r="B12" i="6"/>
  <c r="C13" i="6" s="1"/>
  <c r="B5" i="6"/>
  <c r="B6" i="6" s="1"/>
  <c r="E3" i="6" s="1"/>
  <c r="D49" i="6" s="1"/>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B13" i="5"/>
  <c r="C13" i="5" s="1"/>
  <c r="B11" i="5"/>
  <c r="C12" i="5" s="1"/>
  <c r="E4" i="5"/>
  <c r="B4" i="5"/>
  <c r="B5" i="5" s="1"/>
  <c r="E5" i="5" s="1"/>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B12" i="4"/>
  <c r="C13" i="4" s="1"/>
  <c r="B11" i="4"/>
  <c r="B5" i="4"/>
  <c r="E5" i="4" s="1"/>
  <c r="E4" i="4"/>
  <c r="F3" i="2"/>
  <c r="C5" i="2"/>
  <c r="F5" i="2" s="1"/>
  <c r="G12" i="6" s="1"/>
  <c r="H12" i="6" s="1"/>
  <c r="I12" i="6" s="1"/>
  <c r="C11" i="2"/>
  <c r="J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25" i="6" l="1"/>
  <c r="D30" i="6"/>
  <c r="D63" i="6"/>
  <c r="D46" i="6"/>
  <c r="D17" i="6"/>
  <c r="D57" i="6"/>
  <c r="D51" i="6"/>
  <c r="D22" i="6"/>
  <c r="D62" i="6"/>
  <c r="D33" i="6"/>
  <c r="D27" i="6"/>
  <c r="D43" i="6"/>
  <c r="D19" i="6"/>
  <c r="D38" i="6"/>
  <c r="E13" i="7"/>
  <c r="D59" i="6"/>
  <c r="D35" i="6"/>
  <c r="D41" i="6"/>
  <c r="D54" i="6"/>
  <c r="G13" i="6"/>
  <c r="H14" i="6"/>
  <c r="I14" i="6" s="1"/>
  <c r="C12" i="4"/>
  <c r="E3" i="10"/>
  <c r="D13" i="10" s="1"/>
  <c r="G12" i="10"/>
  <c r="E3" i="9"/>
  <c r="E3" i="8"/>
  <c r="G12" i="8"/>
  <c r="H12" i="8" s="1"/>
  <c r="I12" i="8" s="1"/>
  <c r="C18" i="8"/>
  <c r="E3" i="7"/>
  <c r="G12" i="7"/>
  <c r="H12" i="7" s="1"/>
  <c r="I12" i="7" s="1"/>
  <c r="D64" i="6"/>
  <c r="D20" i="6"/>
  <c r="D28" i="6"/>
  <c r="D36" i="6"/>
  <c r="D44" i="6"/>
  <c r="D52" i="6"/>
  <c r="D60" i="6"/>
  <c r="E13" i="6"/>
  <c r="D21" i="6"/>
  <c r="D29" i="6"/>
  <c r="D37" i="6"/>
  <c r="D45" i="6"/>
  <c r="D53" i="6"/>
  <c r="D61" i="6"/>
  <c r="D18" i="6"/>
  <c r="D26" i="6"/>
  <c r="D34" i="6"/>
  <c r="D42" i="6"/>
  <c r="D50" i="6"/>
  <c r="D58" i="6"/>
  <c r="D16" i="6"/>
  <c r="D24" i="6"/>
  <c r="D32" i="6"/>
  <c r="D40" i="6"/>
  <c r="D48" i="6"/>
  <c r="D56" i="6"/>
  <c r="D23" i="6"/>
  <c r="D31" i="6"/>
  <c r="D39" i="6"/>
  <c r="D47" i="6"/>
  <c r="D55" i="6"/>
  <c r="G11" i="5"/>
  <c r="G12" i="5"/>
  <c r="H12" i="5" s="1"/>
  <c r="I12" i="5" s="1"/>
  <c r="E3" i="5"/>
  <c r="D48" i="5" s="1"/>
  <c r="C14" i="5"/>
  <c r="E3" i="4"/>
  <c r="G11" i="4"/>
  <c r="H11" i="4" s="1"/>
  <c r="I11" i="4" s="1"/>
  <c r="F4" i="2"/>
  <c r="H11" i="2"/>
  <c r="E13" i="10" l="1"/>
  <c r="H12" i="10"/>
  <c r="I12" i="10" s="1"/>
  <c r="E16" i="6"/>
  <c r="F16" i="6" s="1"/>
  <c r="G16" i="6" s="1"/>
  <c r="H16" i="6" s="1"/>
  <c r="I16" i="6" s="1"/>
  <c r="E14" i="6"/>
  <c r="H13" i="6"/>
  <c r="I13" i="6" s="1"/>
  <c r="E12" i="5"/>
  <c r="E13" i="5" s="1"/>
  <c r="H11" i="5"/>
  <c r="I11" i="5" s="1"/>
  <c r="F12" i="9"/>
  <c r="H12" i="9" s="1"/>
  <c r="I12" i="9" s="1"/>
  <c r="D14" i="10"/>
  <c r="D17" i="10"/>
  <c r="D15" i="10"/>
  <c r="D16" i="10"/>
  <c r="D14" i="9"/>
  <c r="D13" i="9"/>
  <c r="D17" i="9"/>
  <c r="D15" i="9"/>
  <c r="D16" i="9"/>
  <c r="E13" i="8"/>
  <c r="D46" i="8"/>
  <c r="D38" i="8"/>
  <c r="D30" i="8"/>
  <c r="D22" i="8"/>
  <c r="D14" i="8"/>
  <c r="D47" i="8"/>
  <c r="D23" i="8"/>
  <c r="D34" i="8"/>
  <c r="D26" i="8"/>
  <c r="D21" i="8"/>
  <c r="D41" i="8"/>
  <c r="D33" i="8"/>
  <c r="D25" i="8"/>
  <c r="D17" i="8"/>
  <c r="D39" i="8"/>
  <c r="D45" i="8"/>
  <c r="D13" i="8"/>
  <c r="D44" i="8"/>
  <c r="D36" i="8"/>
  <c r="D28" i="8"/>
  <c r="D20" i="8"/>
  <c r="D31" i="8"/>
  <c r="D15" i="8"/>
  <c r="D42" i="8"/>
  <c r="D37" i="8"/>
  <c r="D29" i="8"/>
  <c r="D40" i="8"/>
  <c r="D32" i="8"/>
  <c r="D24" i="8"/>
  <c r="D16" i="8"/>
  <c r="D43" i="8"/>
  <c r="D35" i="8"/>
  <c r="D27" i="8"/>
  <c r="D19" i="8"/>
  <c r="F13" i="7"/>
  <c r="G13" i="7" s="1"/>
  <c r="H13" i="7" s="1"/>
  <c r="I13" i="7" s="1"/>
  <c r="D46" i="7"/>
  <c r="D38" i="7"/>
  <c r="D30" i="7"/>
  <c r="D22" i="7"/>
  <c r="D14" i="7"/>
  <c r="D47" i="7"/>
  <c r="D18" i="7"/>
  <c r="D45" i="7"/>
  <c r="D24" i="7"/>
  <c r="D41" i="7"/>
  <c r="D33" i="7"/>
  <c r="D25" i="7"/>
  <c r="D17" i="7"/>
  <c r="D26" i="7"/>
  <c r="D32" i="7"/>
  <c r="D44" i="7"/>
  <c r="D36" i="7"/>
  <c r="D28" i="7"/>
  <c r="D20" i="7"/>
  <c r="D23" i="7"/>
  <c r="D15" i="7"/>
  <c r="D42" i="7"/>
  <c r="D29" i="7"/>
  <c r="D16" i="7"/>
  <c r="D43" i="7"/>
  <c r="D35" i="7"/>
  <c r="D27" i="7"/>
  <c r="D19" i="7"/>
  <c r="D39" i="7"/>
  <c r="D31" i="7"/>
  <c r="D34" i="7"/>
  <c r="D37" i="7"/>
  <c r="D21" i="7"/>
  <c r="D40" i="7"/>
  <c r="D47" i="5"/>
  <c r="D39" i="5"/>
  <c r="D31" i="5"/>
  <c r="D23" i="5"/>
  <c r="D15" i="5"/>
  <c r="D45" i="5"/>
  <c r="D37" i="5"/>
  <c r="D21" i="5"/>
  <c r="D40" i="5"/>
  <c r="D43" i="5"/>
  <c r="D35" i="5"/>
  <c r="D27" i="5"/>
  <c r="D42" i="5"/>
  <c r="D34" i="5"/>
  <c r="D26" i="5"/>
  <c r="D18" i="5"/>
  <c r="D13" i="5"/>
  <c r="D32" i="5"/>
  <c r="D16" i="5"/>
  <c r="D46" i="5"/>
  <c r="D38" i="5"/>
  <c r="D30" i="5"/>
  <c r="D22" i="5"/>
  <c r="D14" i="5"/>
  <c r="D41" i="5"/>
  <c r="D33" i="5"/>
  <c r="D25" i="5"/>
  <c r="D17" i="5"/>
  <c r="D19" i="5"/>
  <c r="D44" i="5"/>
  <c r="D36" i="5"/>
  <c r="D28" i="5"/>
  <c r="D20" i="5"/>
  <c r="D29" i="5"/>
  <c r="D24" i="5"/>
  <c r="E12" i="4"/>
  <c r="D46" i="4"/>
  <c r="D41" i="4"/>
  <c r="D33" i="4"/>
  <c r="D25" i="4"/>
  <c r="D17" i="4"/>
  <c r="D42" i="4"/>
  <c r="D18" i="4"/>
  <c r="D45" i="4"/>
  <c r="D29" i="4"/>
  <c r="D44" i="4"/>
  <c r="D36" i="4"/>
  <c r="D28" i="4"/>
  <c r="D20" i="4"/>
  <c r="D12" i="4"/>
  <c r="D26" i="4"/>
  <c r="D37" i="4"/>
  <c r="D47" i="4"/>
  <c r="D39" i="4"/>
  <c r="D31" i="4"/>
  <c r="D23" i="4"/>
  <c r="D15" i="4"/>
  <c r="D34" i="4"/>
  <c r="D21" i="4"/>
  <c r="D40" i="4"/>
  <c r="D32" i="4"/>
  <c r="D24" i="4"/>
  <c r="D16" i="4"/>
  <c r="D43" i="4"/>
  <c r="D35" i="4"/>
  <c r="D27" i="4"/>
  <c r="D19" i="4"/>
  <c r="D38" i="4"/>
  <c r="D30" i="4"/>
  <c r="D22" i="4"/>
  <c r="D14" i="4"/>
  <c r="D13" i="4"/>
  <c r="I11" i="2"/>
  <c r="F12" i="2"/>
  <c r="E14" i="2"/>
  <c r="E16" i="2"/>
  <c r="E13" i="2"/>
  <c r="E17" i="2"/>
  <c r="E22" i="2"/>
  <c r="E26" i="2"/>
  <c r="E30" i="2"/>
  <c r="E34" i="2"/>
  <c r="E31" i="2"/>
  <c r="E32" i="2"/>
  <c r="E48" i="2"/>
  <c r="E15" i="2"/>
  <c r="E29" i="2"/>
  <c r="E41" i="2"/>
  <c r="E18" i="2"/>
  <c r="E27" i="2"/>
  <c r="E28" i="2"/>
  <c r="E38" i="2"/>
  <c r="E33" i="2"/>
  <c r="E19" i="2"/>
  <c r="E52" i="2"/>
  <c r="E54" i="2"/>
  <c r="E56" i="2"/>
  <c r="E58" i="2"/>
  <c r="E39" i="2"/>
  <c r="E43" i="2"/>
  <c r="E46" i="2"/>
  <c r="E25" i="2"/>
  <c r="E42" i="2"/>
  <c r="E50" i="2"/>
  <c r="E20" i="2"/>
  <c r="E49" i="2"/>
  <c r="E24" i="2"/>
  <c r="E59" i="2"/>
  <c r="E35" i="2"/>
  <c r="E23" i="2"/>
  <c r="E36" i="2"/>
  <c r="E51" i="2"/>
  <c r="E57" i="2"/>
  <c r="E12" i="2"/>
  <c r="G12" i="2" s="1"/>
  <c r="H12" i="2" s="1"/>
  <c r="E44" i="2"/>
  <c r="E21" i="2"/>
  <c r="E45" i="2"/>
  <c r="E53" i="2"/>
  <c r="E47" i="2"/>
  <c r="E55" i="2"/>
  <c r="E37" i="2"/>
  <c r="E40" i="2"/>
  <c r="F12" i="4" l="1"/>
  <c r="G12" i="4" s="1"/>
  <c r="H12" i="4" s="1"/>
  <c r="I12" i="4" s="1"/>
  <c r="F13" i="8"/>
  <c r="G13" i="8" s="1"/>
  <c r="H13" i="8" s="1"/>
  <c r="I13" i="8" s="1"/>
  <c r="F13" i="10"/>
  <c r="G13" i="10" s="1"/>
  <c r="H13" i="10" s="1"/>
  <c r="I13" i="10" s="1"/>
  <c r="E13" i="9"/>
  <c r="F13" i="9" s="1"/>
  <c r="G13" i="9" s="1"/>
  <c r="H13" i="9" s="1"/>
  <c r="I13" i="9" s="1"/>
  <c r="E14" i="8"/>
  <c r="F14" i="8" s="1"/>
  <c r="G14" i="8" s="1"/>
  <c r="H14" i="8" s="1"/>
  <c r="I14" i="8" s="1"/>
  <c r="E14" i="7"/>
  <c r="F14" i="7" s="1"/>
  <c r="G14" i="7" s="1"/>
  <c r="H14" i="7" s="1"/>
  <c r="I14" i="7" s="1"/>
  <c r="E17" i="6"/>
  <c r="F17" i="6" s="1"/>
  <c r="G17" i="6" s="1"/>
  <c r="H17" i="6" s="1"/>
  <c r="I17" i="6" s="1"/>
  <c r="F13" i="5"/>
  <c r="G13" i="5" s="1"/>
  <c r="H13" i="5" s="1"/>
  <c r="I13" i="5" s="1"/>
  <c r="E13" i="4"/>
  <c r="F13" i="4"/>
  <c r="G13" i="4" s="1"/>
  <c r="H13" i="4" s="1"/>
  <c r="I13" i="4" s="1"/>
  <c r="I12" i="2"/>
  <c r="J12" i="2" s="1"/>
  <c r="F13" i="2"/>
  <c r="G13" i="2" s="1"/>
  <c r="H13" i="2" s="1"/>
  <c r="E14" i="10" l="1"/>
  <c r="F14" i="10" s="1"/>
  <c r="G14" i="10" s="1"/>
  <c r="H14" i="10" s="1"/>
  <c r="I14" i="10" s="1"/>
  <c r="E14" i="9"/>
  <c r="F14" i="9" s="1"/>
  <c r="G14" i="9" s="1"/>
  <c r="H14" i="9" s="1"/>
  <c r="I14" i="9" s="1"/>
  <c r="E15" i="8"/>
  <c r="F15" i="8" s="1"/>
  <c r="G15" i="8" s="1"/>
  <c r="H15" i="8" s="1"/>
  <c r="I15" i="8" s="1"/>
  <c r="E15" i="7"/>
  <c r="F15" i="7" s="1"/>
  <c r="G15" i="7" s="1"/>
  <c r="H15" i="7" s="1"/>
  <c r="I15" i="7" s="1"/>
  <c r="E18" i="6"/>
  <c r="F18" i="6" s="1"/>
  <c r="G18" i="6" s="1"/>
  <c r="H18" i="6" s="1"/>
  <c r="I18" i="6" s="1"/>
  <c r="E14" i="5"/>
  <c r="F14" i="5" s="1"/>
  <c r="G14" i="5" s="1"/>
  <c r="H14" i="5" s="1"/>
  <c r="I14" i="5" s="1"/>
  <c r="E14" i="4"/>
  <c r="F14" i="4" s="1"/>
  <c r="G14" i="4" s="1"/>
  <c r="H14" i="4" s="1"/>
  <c r="I14" i="4" s="1"/>
  <c r="I13" i="2"/>
  <c r="J13" i="2" s="1"/>
  <c r="F14" i="2"/>
  <c r="G14" i="2" s="1"/>
  <c r="H14" i="2" s="1"/>
  <c r="E15" i="10" l="1"/>
  <c r="F15" i="10" s="1"/>
  <c r="G15" i="10" s="1"/>
  <c r="H15" i="10" s="1"/>
  <c r="I15" i="10" s="1"/>
  <c r="E15" i="9"/>
  <c r="F15" i="9" s="1"/>
  <c r="G15" i="9" s="1"/>
  <c r="H15" i="9" s="1"/>
  <c r="I15" i="9" s="1"/>
  <c r="E16" i="8"/>
  <c r="F16" i="8" s="1"/>
  <c r="G16" i="8" s="1"/>
  <c r="H16" i="8" s="1"/>
  <c r="I16" i="8" s="1"/>
  <c r="E16" i="7"/>
  <c r="F16" i="7" s="1"/>
  <c r="G16" i="7" s="1"/>
  <c r="H16" i="7" s="1"/>
  <c r="I16" i="7" s="1"/>
  <c r="E19" i="6"/>
  <c r="F19" i="6" s="1"/>
  <c r="G19" i="6" s="1"/>
  <c r="H19" i="6" s="1"/>
  <c r="I19" i="6" s="1"/>
  <c r="E15" i="5"/>
  <c r="F15" i="5" s="1"/>
  <c r="G15" i="5" s="1"/>
  <c r="H15" i="5" s="1"/>
  <c r="I15" i="5" s="1"/>
  <c r="E15" i="4"/>
  <c r="F15" i="4" s="1"/>
  <c r="G15" i="4"/>
  <c r="H15" i="4" s="1"/>
  <c r="I15" i="4" s="1"/>
  <c r="F15" i="2"/>
  <c r="G15" i="2" s="1"/>
  <c r="H15" i="2"/>
  <c r="I14" i="2"/>
  <c r="J14" i="2" s="1"/>
  <c r="E16" i="10" l="1"/>
  <c r="F16" i="10" s="1"/>
  <c r="G16" i="10" s="1"/>
  <c r="H16" i="10" s="1"/>
  <c r="I16" i="10" s="1"/>
  <c r="E16" i="9"/>
  <c r="F16" i="9" s="1"/>
  <c r="G16" i="9" s="1"/>
  <c r="H16" i="9" s="1"/>
  <c r="I16" i="9" s="1"/>
  <c r="E17" i="8"/>
  <c r="F17" i="8" s="1"/>
  <c r="G17" i="8" s="1"/>
  <c r="H17" i="8" s="1"/>
  <c r="I17" i="8" s="1"/>
  <c r="E17" i="7"/>
  <c r="F17" i="7" s="1"/>
  <c r="G17" i="7" s="1"/>
  <c r="H17" i="7" s="1"/>
  <c r="I17" i="7" s="1"/>
  <c r="E20" i="6"/>
  <c r="F20" i="6" s="1"/>
  <c r="G20" i="6" s="1"/>
  <c r="H20" i="6" s="1"/>
  <c r="I20" i="6" s="1"/>
  <c r="E16" i="5"/>
  <c r="F16" i="5" s="1"/>
  <c r="G16" i="5" s="1"/>
  <c r="H16" i="5" s="1"/>
  <c r="I16" i="5" s="1"/>
  <c r="E16" i="4"/>
  <c r="F16" i="4" s="1"/>
  <c r="G16" i="4" s="1"/>
  <c r="H16" i="4" s="1"/>
  <c r="I16" i="4" s="1"/>
  <c r="I15" i="2"/>
  <c r="J15" i="2" s="1"/>
  <c r="F16" i="2"/>
  <c r="G16" i="2" s="1"/>
  <c r="H16" i="2" s="1"/>
  <c r="E17" i="10" l="1"/>
  <c r="F17" i="10" s="1"/>
  <c r="G17" i="10" s="1"/>
  <c r="E17" i="9"/>
  <c r="F17" i="9" s="1"/>
  <c r="G17" i="9" s="1"/>
  <c r="H17" i="9" s="1"/>
  <c r="I17" i="9" s="1"/>
  <c r="E18" i="8"/>
  <c r="F18" i="8" s="1"/>
  <c r="G18" i="8" s="1"/>
  <c r="H18" i="8" s="1"/>
  <c r="I18" i="8" s="1"/>
  <c r="E18" i="7"/>
  <c r="F18" i="7" s="1"/>
  <c r="G18" i="7" s="1"/>
  <c r="H18" i="7" s="1"/>
  <c r="I18" i="7" s="1"/>
  <c r="E21" i="6"/>
  <c r="F21" i="6" s="1"/>
  <c r="G21" i="6"/>
  <c r="H21" i="6" s="1"/>
  <c r="I21" i="6" s="1"/>
  <c r="E17" i="5"/>
  <c r="F17" i="5" s="1"/>
  <c r="G17" i="5" s="1"/>
  <c r="H17" i="5" s="1"/>
  <c r="I17" i="5" s="1"/>
  <c r="E17" i="4"/>
  <c r="F17" i="4" s="1"/>
  <c r="G17" i="4" s="1"/>
  <c r="H17" i="4" s="1"/>
  <c r="I17" i="4" s="1"/>
  <c r="F17" i="2"/>
  <c r="G17" i="2" s="1"/>
  <c r="I16" i="2"/>
  <c r="J16" i="2" s="1"/>
  <c r="H17" i="2"/>
  <c r="H17" i="10" l="1"/>
  <c r="I17" i="10" s="1"/>
  <c r="E20" i="10"/>
  <c r="G18" i="10"/>
  <c r="E21" i="10" s="1"/>
  <c r="E18" i="9"/>
  <c r="D18" i="9" s="1"/>
  <c r="F18" i="9" s="1"/>
  <c r="G18" i="9" s="1"/>
  <c r="H18" i="9" s="1"/>
  <c r="I18" i="9" s="1"/>
  <c r="E19" i="8"/>
  <c r="F19" i="8" s="1"/>
  <c r="G19" i="8" s="1"/>
  <c r="H19" i="8" s="1"/>
  <c r="I19" i="8" s="1"/>
  <c r="E19" i="7"/>
  <c r="F19" i="7" s="1"/>
  <c r="G19" i="7" s="1"/>
  <c r="H19" i="7" s="1"/>
  <c r="I19" i="7" s="1"/>
  <c r="E22" i="6"/>
  <c r="F22" i="6" s="1"/>
  <c r="G22" i="6" s="1"/>
  <c r="H22" i="6" s="1"/>
  <c r="I22" i="6" s="1"/>
  <c r="E18" i="5"/>
  <c r="F18" i="5" s="1"/>
  <c r="G18" i="5" s="1"/>
  <c r="H18" i="5" s="1"/>
  <c r="I18" i="5" s="1"/>
  <c r="E18" i="4"/>
  <c r="F18" i="4" s="1"/>
  <c r="G18" i="4" s="1"/>
  <c r="H18" i="4" s="1"/>
  <c r="I18" i="4" s="1"/>
  <c r="I17" i="2"/>
  <c r="J17" i="2" s="1"/>
  <c r="F18" i="2"/>
  <c r="G18" i="2" s="1"/>
  <c r="H18" i="2" s="1"/>
  <c r="E20" i="8" l="1"/>
  <c r="F20" i="8" s="1"/>
  <c r="G20" i="8"/>
  <c r="H20" i="8" s="1"/>
  <c r="I20" i="8" s="1"/>
  <c r="E20" i="7"/>
  <c r="F20" i="7" s="1"/>
  <c r="G20" i="7" s="1"/>
  <c r="H20" i="7" s="1"/>
  <c r="I20" i="7" s="1"/>
  <c r="E23" i="6"/>
  <c r="F23" i="6" s="1"/>
  <c r="G23" i="6" s="1"/>
  <c r="H23" i="6" s="1"/>
  <c r="I23" i="6" s="1"/>
  <c r="E19" i="5"/>
  <c r="F19" i="5" s="1"/>
  <c r="G19" i="5" s="1"/>
  <c r="H19" i="5" s="1"/>
  <c r="I19" i="5" s="1"/>
  <c r="E19" i="4"/>
  <c r="F19" i="4" s="1"/>
  <c r="G19" i="4" s="1"/>
  <c r="H19" i="4" s="1"/>
  <c r="I19" i="4" s="1"/>
  <c r="I18" i="2"/>
  <c r="J18" i="2" s="1"/>
  <c r="F19" i="2"/>
  <c r="G19" i="2" s="1"/>
  <c r="H19" i="2" s="1"/>
  <c r="E21" i="8" l="1"/>
  <c r="F21" i="8" s="1"/>
  <c r="G21" i="8" s="1"/>
  <c r="H21" i="8" s="1"/>
  <c r="I21" i="8" s="1"/>
  <c r="E21" i="7"/>
  <c r="F21" i="7" s="1"/>
  <c r="G21" i="7" s="1"/>
  <c r="H21" i="7" s="1"/>
  <c r="I21" i="7" s="1"/>
  <c r="E24" i="6"/>
  <c r="F24" i="6" s="1"/>
  <c r="G24" i="6" s="1"/>
  <c r="H24" i="6" s="1"/>
  <c r="I24" i="6" s="1"/>
  <c r="E20" i="5"/>
  <c r="F20" i="5" s="1"/>
  <c r="G20" i="5" s="1"/>
  <c r="H20" i="5" s="1"/>
  <c r="I20" i="5" s="1"/>
  <c r="E20" i="4"/>
  <c r="F20" i="4" s="1"/>
  <c r="G20" i="4" s="1"/>
  <c r="H20" i="4" s="1"/>
  <c r="I20" i="4" s="1"/>
  <c r="I19" i="2"/>
  <c r="J19" i="2" s="1"/>
  <c r="F20" i="2"/>
  <c r="G20" i="2" s="1"/>
  <c r="H20" i="2" s="1"/>
  <c r="E22" i="8" l="1"/>
  <c r="F22" i="8" s="1"/>
  <c r="G22" i="8" s="1"/>
  <c r="H22" i="8" s="1"/>
  <c r="I22" i="8" s="1"/>
  <c r="E22" i="7"/>
  <c r="F22" i="7" s="1"/>
  <c r="G22" i="7" s="1"/>
  <c r="H22" i="7" s="1"/>
  <c r="I22" i="7" s="1"/>
  <c r="E25" i="6"/>
  <c r="F25" i="6" s="1"/>
  <c r="G25" i="6" s="1"/>
  <c r="H25" i="6" s="1"/>
  <c r="I25" i="6" s="1"/>
  <c r="E21" i="5"/>
  <c r="F21" i="5" s="1"/>
  <c r="G21" i="5" s="1"/>
  <c r="H21" i="5" s="1"/>
  <c r="I21" i="5" s="1"/>
  <c r="E21" i="4"/>
  <c r="F21" i="4" s="1"/>
  <c r="G21" i="4" s="1"/>
  <c r="H21" i="4" s="1"/>
  <c r="I21" i="4" s="1"/>
  <c r="I20" i="2"/>
  <c r="J20" i="2" s="1"/>
  <c r="F21" i="2"/>
  <c r="G21" i="2" s="1"/>
  <c r="H21" i="2" s="1"/>
  <c r="E23" i="8" l="1"/>
  <c r="F23" i="8" s="1"/>
  <c r="G23" i="8" s="1"/>
  <c r="H23" i="8" s="1"/>
  <c r="I23" i="8" s="1"/>
  <c r="E23" i="7"/>
  <c r="F23" i="7" s="1"/>
  <c r="G23" i="7" s="1"/>
  <c r="H23" i="7" s="1"/>
  <c r="I23" i="7" s="1"/>
  <c r="E26" i="6"/>
  <c r="F26" i="6" s="1"/>
  <c r="G26" i="6"/>
  <c r="H26" i="6" s="1"/>
  <c r="I26" i="6" s="1"/>
  <c r="E22" i="5"/>
  <c r="F22" i="5" s="1"/>
  <c r="G22" i="5" s="1"/>
  <c r="H22" i="5" s="1"/>
  <c r="I22" i="5" s="1"/>
  <c r="E22" i="4"/>
  <c r="F22" i="4" s="1"/>
  <c r="G22" i="4" s="1"/>
  <c r="H22" i="4" s="1"/>
  <c r="I22" i="4" s="1"/>
  <c r="I21" i="2"/>
  <c r="J21" i="2" s="1"/>
  <c r="F22" i="2"/>
  <c r="G22" i="2" s="1"/>
  <c r="H22" i="2" s="1"/>
  <c r="E24" i="8" l="1"/>
  <c r="F24" i="8" s="1"/>
  <c r="G24" i="8" s="1"/>
  <c r="H24" i="8" s="1"/>
  <c r="I24" i="8" s="1"/>
  <c r="E24" i="7"/>
  <c r="F24" i="7" s="1"/>
  <c r="G24" i="7"/>
  <c r="H24" i="7" s="1"/>
  <c r="I24" i="7" s="1"/>
  <c r="E27" i="6"/>
  <c r="F27" i="6" s="1"/>
  <c r="G27" i="6" s="1"/>
  <c r="H27" i="6" s="1"/>
  <c r="I27" i="6" s="1"/>
  <c r="E23" i="5"/>
  <c r="F23" i="5" s="1"/>
  <c r="G23" i="5" s="1"/>
  <c r="H23" i="5" s="1"/>
  <c r="I23" i="5" s="1"/>
  <c r="E23" i="4"/>
  <c r="F23" i="4" s="1"/>
  <c r="G23" i="4"/>
  <c r="H23" i="4" s="1"/>
  <c r="I23" i="4" s="1"/>
  <c r="I22" i="2"/>
  <c r="J22" i="2" s="1"/>
  <c r="F23" i="2"/>
  <c r="G23" i="2" s="1"/>
  <c r="H23" i="2" s="1"/>
  <c r="E25" i="8" l="1"/>
  <c r="F25" i="8" s="1"/>
  <c r="G25" i="8"/>
  <c r="H25" i="8" s="1"/>
  <c r="I25" i="8" s="1"/>
  <c r="E25" i="7"/>
  <c r="F25" i="7" s="1"/>
  <c r="G25" i="7" s="1"/>
  <c r="H25" i="7" s="1"/>
  <c r="I25" i="7" s="1"/>
  <c r="E28" i="6"/>
  <c r="F28" i="6" s="1"/>
  <c r="G28" i="6" s="1"/>
  <c r="H28" i="6" s="1"/>
  <c r="I28" i="6" s="1"/>
  <c r="E24" i="5"/>
  <c r="F24" i="5" s="1"/>
  <c r="G24" i="5" s="1"/>
  <c r="H24" i="5" s="1"/>
  <c r="I24" i="5" s="1"/>
  <c r="E24" i="4"/>
  <c r="F24" i="4" s="1"/>
  <c r="G24" i="4" s="1"/>
  <c r="H24" i="4" s="1"/>
  <c r="I24" i="4" s="1"/>
  <c r="I23" i="2"/>
  <c r="J23" i="2" s="1"/>
  <c r="F24" i="2"/>
  <c r="G24" i="2" s="1"/>
  <c r="H24" i="2" s="1"/>
  <c r="E26" i="8" l="1"/>
  <c r="F26" i="8" s="1"/>
  <c r="G26" i="8" s="1"/>
  <c r="H26" i="8" s="1"/>
  <c r="I26" i="8" s="1"/>
  <c r="E26" i="7"/>
  <c r="F26" i="7" s="1"/>
  <c r="G26" i="7" s="1"/>
  <c r="H26" i="7" s="1"/>
  <c r="I26" i="7" s="1"/>
  <c r="E29" i="6"/>
  <c r="F29" i="6" s="1"/>
  <c r="G29" i="6" s="1"/>
  <c r="H29" i="6" s="1"/>
  <c r="I29" i="6" s="1"/>
  <c r="E25" i="5"/>
  <c r="F25" i="5" s="1"/>
  <c r="G25" i="5" s="1"/>
  <c r="H25" i="5" s="1"/>
  <c r="I25" i="5" s="1"/>
  <c r="E25" i="4"/>
  <c r="F25" i="4" s="1"/>
  <c r="G25" i="4" s="1"/>
  <c r="H25" i="4" s="1"/>
  <c r="I25" i="4" s="1"/>
  <c r="I24" i="2"/>
  <c r="J24" i="2" s="1"/>
  <c r="F25" i="2"/>
  <c r="G25" i="2" s="1"/>
  <c r="H25" i="2" s="1"/>
  <c r="E27" i="8" l="1"/>
  <c r="F27" i="8" s="1"/>
  <c r="G27" i="8" s="1"/>
  <c r="H27" i="8" s="1"/>
  <c r="I27" i="8" s="1"/>
  <c r="E27" i="7"/>
  <c r="F27" i="7" s="1"/>
  <c r="G27" i="7" s="1"/>
  <c r="H27" i="7" s="1"/>
  <c r="I27" i="7" s="1"/>
  <c r="E30" i="6"/>
  <c r="F30" i="6" s="1"/>
  <c r="G30" i="6" s="1"/>
  <c r="H30" i="6" s="1"/>
  <c r="I30" i="6" s="1"/>
  <c r="E26" i="5"/>
  <c r="F26" i="5" s="1"/>
  <c r="G26" i="5" s="1"/>
  <c r="H26" i="5" s="1"/>
  <c r="I26" i="5" s="1"/>
  <c r="E26" i="4"/>
  <c r="F26" i="4" s="1"/>
  <c r="G26" i="4" s="1"/>
  <c r="H26" i="4" s="1"/>
  <c r="I26" i="4" s="1"/>
  <c r="F26" i="2"/>
  <c r="G26" i="2" s="1"/>
  <c r="H26" i="2" s="1"/>
  <c r="I25" i="2"/>
  <c r="J25" i="2" s="1"/>
  <c r="E28" i="8" l="1"/>
  <c r="F28" i="8" s="1"/>
  <c r="G28" i="8"/>
  <c r="H28" i="8" s="1"/>
  <c r="I28" i="8" s="1"/>
  <c r="E28" i="7"/>
  <c r="F28" i="7" s="1"/>
  <c r="G28" i="7" s="1"/>
  <c r="H28" i="7" s="1"/>
  <c r="I28" i="7" s="1"/>
  <c r="E31" i="6"/>
  <c r="F31" i="6" s="1"/>
  <c r="G31" i="6" s="1"/>
  <c r="H31" i="6" s="1"/>
  <c r="I31" i="6" s="1"/>
  <c r="E27" i="5"/>
  <c r="F27" i="5" s="1"/>
  <c r="G27" i="5" s="1"/>
  <c r="H27" i="5" s="1"/>
  <c r="I27" i="5" s="1"/>
  <c r="E27" i="4"/>
  <c r="F27" i="4" s="1"/>
  <c r="G27" i="4" s="1"/>
  <c r="H27" i="4" s="1"/>
  <c r="I27" i="4" s="1"/>
  <c r="I26" i="2"/>
  <c r="J26" i="2" s="1"/>
  <c r="F27" i="2"/>
  <c r="G27" i="2" s="1"/>
  <c r="H27" i="2"/>
  <c r="E29" i="8" l="1"/>
  <c r="F29" i="8" s="1"/>
  <c r="G29" i="8" s="1"/>
  <c r="H29" i="8" s="1"/>
  <c r="I29" i="8" s="1"/>
  <c r="E29" i="7"/>
  <c r="F29" i="7" s="1"/>
  <c r="G29" i="7"/>
  <c r="H29" i="7" s="1"/>
  <c r="I29" i="7" s="1"/>
  <c r="E32" i="6"/>
  <c r="F32" i="6" s="1"/>
  <c r="G32" i="6" s="1"/>
  <c r="H32" i="6" s="1"/>
  <c r="I32" i="6" s="1"/>
  <c r="E28" i="5"/>
  <c r="F28" i="5" s="1"/>
  <c r="G28" i="5" s="1"/>
  <c r="H28" i="5" s="1"/>
  <c r="I28" i="5" s="1"/>
  <c r="E28" i="4"/>
  <c r="F28" i="4" s="1"/>
  <c r="G28" i="4"/>
  <c r="H28" i="4" s="1"/>
  <c r="I28" i="4" s="1"/>
  <c r="F28" i="2"/>
  <c r="G28" i="2" s="1"/>
  <c r="H28" i="2" s="1"/>
  <c r="I27" i="2"/>
  <c r="J27" i="2" s="1"/>
  <c r="E30" i="8" l="1"/>
  <c r="F30" i="8" s="1"/>
  <c r="G30" i="8" s="1"/>
  <c r="H30" i="8" s="1"/>
  <c r="I30" i="8" s="1"/>
  <c r="E30" i="7"/>
  <c r="F30" i="7" s="1"/>
  <c r="G30" i="7"/>
  <c r="H30" i="7" s="1"/>
  <c r="I30" i="7" s="1"/>
  <c r="E33" i="6"/>
  <c r="F33" i="6" s="1"/>
  <c r="G33" i="6" s="1"/>
  <c r="H33" i="6" s="1"/>
  <c r="I33" i="6" s="1"/>
  <c r="E29" i="5"/>
  <c r="F29" i="5" s="1"/>
  <c r="G29" i="5" s="1"/>
  <c r="H29" i="5" s="1"/>
  <c r="I29" i="5" s="1"/>
  <c r="E29" i="4"/>
  <c r="F29" i="4" s="1"/>
  <c r="G29" i="4" s="1"/>
  <c r="H29" i="4" s="1"/>
  <c r="I29" i="4" s="1"/>
  <c r="I28" i="2"/>
  <c r="J28" i="2" s="1"/>
  <c r="F29" i="2"/>
  <c r="G29" i="2" s="1"/>
  <c r="H29" i="2" s="1"/>
  <c r="E31" i="8" l="1"/>
  <c r="F31" i="8" s="1"/>
  <c r="G31" i="8" s="1"/>
  <c r="H31" i="8" s="1"/>
  <c r="I31" i="8" s="1"/>
  <c r="E31" i="7"/>
  <c r="F31" i="7" s="1"/>
  <c r="G31" i="7" s="1"/>
  <c r="H31" i="7" s="1"/>
  <c r="I31" i="7" s="1"/>
  <c r="E34" i="6"/>
  <c r="F34" i="6" s="1"/>
  <c r="G34" i="6" s="1"/>
  <c r="H34" i="6" s="1"/>
  <c r="I34" i="6" s="1"/>
  <c r="E30" i="5"/>
  <c r="F30" i="5" s="1"/>
  <c r="G30" i="5" s="1"/>
  <c r="H30" i="5" s="1"/>
  <c r="I30" i="5" s="1"/>
  <c r="E30" i="4"/>
  <c r="F30" i="4" s="1"/>
  <c r="G30" i="4" s="1"/>
  <c r="H30" i="4" s="1"/>
  <c r="I30" i="4" s="1"/>
  <c r="F30" i="2"/>
  <c r="G30" i="2" s="1"/>
  <c r="H30" i="2"/>
  <c r="I29" i="2"/>
  <c r="J29" i="2" s="1"/>
  <c r="E32" i="8" l="1"/>
  <c r="F32" i="8" s="1"/>
  <c r="G32" i="8" s="1"/>
  <c r="H32" i="8" s="1"/>
  <c r="I32" i="8" s="1"/>
  <c r="E32" i="7"/>
  <c r="F32" i="7" s="1"/>
  <c r="G32" i="7"/>
  <c r="H32" i="7" s="1"/>
  <c r="I32" i="7" s="1"/>
  <c r="E35" i="6"/>
  <c r="F35" i="6" s="1"/>
  <c r="G35" i="6" s="1"/>
  <c r="H35" i="6" s="1"/>
  <c r="I35" i="6" s="1"/>
  <c r="E31" i="5"/>
  <c r="F31" i="5" s="1"/>
  <c r="G31" i="5" s="1"/>
  <c r="H31" i="5" s="1"/>
  <c r="I31" i="5" s="1"/>
  <c r="E31" i="4"/>
  <c r="F31" i="4" s="1"/>
  <c r="G31" i="4"/>
  <c r="H31" i="4" s="1"/>
  <c r="I31" i="4" s="1"/>
  <c r="F31" i="2"/>
  <c r="G31" i="2" s="1"/>
  <c r="H31" i="2" s="1"/>
  <c r="I30" i="2"/>
  <c r="J30" i="2" s="1"/>
  <c r="E33" i="8" l="1"/>
  <c r="F33" i="8" s="1"/>
  <c r="G33" i="8"/>
  <c r="H33" i="8" s="1"/>
  <c r="I33" i="8" s="1"/>
  <c r="E33" i="7"/>
  <c r="F33" i="7" s="1"/>
  <c r="G33" i="7" s="1"/>
  <c r="H33" i="7" s="1"/>
  <c r="I33" i="7" s="1"/>
  <c r="E36" i="6"/>
  <c r="F36" i="6" s="1"/>
  <c r="G36" i="6" s="1"/>
  <c r="H36" i="6" s="1"/>
  <c r="I36" i="6" s="1"/>
  <c r="E32" i="5"/>
  <c r="F32" i="5" s="1"/>
  <c r="G32" i="5" s="1"/>
  <c r="H32" i="5" s="1"/>
  <c r="I32" i="5" s="1"/>
  <c r="E32" i="4"/>
  <c r="F32" i="4" s="1"/>
  <c r="G32" i="4"/>
  <c r="H32" i="4" s="1"/>
  <c r="I32" i="4" s="1"/>
  <c r="F32" i="2"/>
  <c r="G32" i="2" s="1"/>
  <c r="H32" i="2" s="1"/>
  <c r="I31" i="2"/>
  <c r="J31" i="2" s="1"/>
  <c r="E34" i="8" l="1"/>
  <c r="F34" i="8" s="1"/>
  <c r="G34" i="8"/>
  <c r="H34" i="8" s="1"/>
  <c r="I34" i="8" s="1"/>
  <c r="E34" i="7"/>
  <c r="F34" i="7" s="1"/>
  <c r="G34" i="7" s="1"/>
  <c r="H34" i="7" s="1"/>
  <c r="I34" i="7" s="1"/>
  <c r="E37" i="6"/>
  <c r="F37" i="6" s="1"/>
  <c r="G37" i="6" s="1"/>
  <c r="H37" i="6" s="1"/>
  <c r="I37" i="6" s="1"/>
  <c r="E33" i="5"/>
  <c r="F33" i="5" s="1"/>
  <c r="G33" i="5" s="1"/>
  <c r="H33" i="5" s="1"/>
  <c r="I33" i="5" s="1"/>
  <c r="E33" i="4"/>
  <c r="F33" i="4" s="1"/>
  <c r="G33" i="4" s="1"/>
  <c r="H33" i="4" s="1"/>
  <c r="I33" i="4" s="1"/>
  <c r="I32" i="2"/>
  <c r="J32" i="2" s="1"/>
  <c r="F33" i="2"/>
  <c r="G33" i="2" s="1"/>
  <c r="H33" i="2" s="1"/>
  <c r="E35" i="8" l="1"/>
  <c r="F35" i="8" s="1"/>
  <c r="G35" i="8" s="1"/>
  <c r="H35" i="8" s="1"/>
  <c r="I35" i="8" s="1"/>
  <c r="E35" i="7"/>
  <c r="F35" i="7" s="1"/>
  <c r="G35" i="7" s="1"/>
  <c r="H35" i="7" s="1"/>
  <c r="I35" i="7" s="1"/>
  <c r="E38" i="6"/>
  <c r="F38" i="6" s="1"/>
  <c r="G38" i="6" s="1"/>
  <c r="H38" i="6" s="1"/>
  <c r="I38" i="6" s="1"/>
  <c r="E34" i="5"/>
  <c r="F34" i="5" s="1"/>
  <c r="G34" i="5" s="1"/>
  <c r="H34" i="5" s="1"/>
  <c r="I34" i="5" s="1"/>
  <c r="E34" i="4"/>
  <c r="F34" i="4" s="1"/>
  <c r="G34" i="4" s="1"/>
  <c r="H34" i="4" s="1"/>
  <c r="I34" i="4" s="1"/>
  <c r="F34" i="2"/>
  <c r="G34" i="2" s="1"/>
  <c r="H34" i="2" s="1"/>
  <c r="I33" i="2"/>
  <c r="J33" i="2" s="1"/>
  <c r="E36" i="8" l="1"/>
  <c r="F36" i="8" s="1"/>
  <c r="G36" i="8"/>
  <c r="H36" i="8" s="1"/>
  <c r="I36" i="8" s="1"/>
  <c r="E36" i="7"/>
  <c r="F36" i="7" s="1"/>
  <c r="G36" i="7" s="1"/>
  <c r="H36" i="7" s="1"/>
  <c r="I36" i="7" s="1"/>
  <c r="E39" i="6"/>
  <c r="F39" i="6" s="1"/>
  <c r="G39" i="6" s="1"/>
  <c r="H39" i="6" s="1"/>
  <c r="I39" i="6" s="1"/>
  <c r="E35" i="5"/>
  <c r="F35" i="5" s="1"/>
  <c r="G35" i="5" s="1"/>
  <c r="H35" i="5" s="1"/>
  <c r="I35" i="5" s="1"/>
  <c r="E35" i="4"/>
  <c r="F35" i="4" s="1"/>
  <c r="G35" i="4" s="1"/>
  <c r="H35" i="4" s="1"/>
  <c r="I35" i="4" s="1"/>
  <c r="I34" i="2"/>
  <c r="J34" i="2" s="1"/>
  <c r="F35" i="2"/>
  <c r="G35" i="2" s="1"/>
  <c r="H35" i="2" s="1"/>
  <c r="E37" i="8" l="1"/>
  <c r="F37" i="8" s="1"/>
  <c r="G37" i="8"/>
  <c r="H37" i="8" s="1"/>
  <c r="I37" i="8" s="1"/>
  <c r="E37" i="7"/>
  <c r="F37" i="7" s="1"/>
  <c r="G37" i="7" s="1"/>
  <c r="H37" i="7" s="1"/>
  <c r="I37" i="7" s="1"/>
  <c r="E40" i="6"/>
  <c r="F40" i="6" s="1"/>
  <c r="G40" i="6" s="1"/>
  <c r="H40" i="6" s="1"/>
  <c r="I40" i="6" s="1"/>
  <c r="E36" i="5"/>
  <c r="F36" i="5" s="1"/>
  <c r="G36" i="5" s="1"/>
  <c r="H36" i="5" s="1"/>
  <c r="I36" i="5" s="1"/>
  <c r="E36" i="4"/>
  <c r="F36" i="4" s="1"/>
  <c r="G36" i="4" s="1"/>
  <c r="H36" i="4" s="1"/>
  <c r="I36" i="4" s="1"/>
  <c r="I35" i="2"/>
  <c r="J35" i="2" s="1"/>
  <c r="F36" i="2"/>
  <c r="G36" i="2" s="1"/>
  <c r="H36" i="2" s="1"/>
  <c r="E38" i="8" l="1"/>
  <c r="F38" i="8" s="1"/>
  <c r="G38" i="8" s="1"/>
  <c r="H38" i="8" s="1"/>
  <c r="I38" i="8" s="1"/>
  <c r="E38" i="7"/>
  <c r="F38" i="7" s="1"/>
  <c r="G38" i="7" s="1"/>
  <c r="H38" i="7" s="1"/>
  <c r="I38" i="7" s="1"/>
  <c r="E41" i="6"/>
  <c r="F41" i="6" s="1"/>
  <c r="G41" i="6" s="1"/>
  <c r="H41" i="6" s="1"/>
  <c r="I41" i="6" s="1"/>
  <c r="E37" i="5"/>
  <c r="F37" i="5" s="1"/>
  <c r="G37" i="5" s="1"/>
  <c r="H37" i="5" s="1"/>
  <c r="I37" i="5" s="1"/>
  <c r="E37" i="4"/>
  <c r="F37" i="4" s="1"/>
  <c r="G37" i="4" s="1"/>
  <c r="H37" i="4" s="1"/>
  <c r="I37" i="4" s="1"/>
  <c r="I36" i="2"/>
  <c r="J36" i="2" s="1"/>
  <c r="F37" i="2"/>
  <c r="G37" i="2" s="1"/>
  <c r="H37" i="2" s="1"/>
  <c r="E39" i="8" l="1"/>
  <c r="F39" i="8" s="1"/>
  <c r="G39" i="8" s="1"/>
  <c r="H39" i="8" s="1"/>
  <c r="I39" i="8" s="1"/>
  <c r="E39" i="7"/>
  <c r="F39" i="7" s="1"/>
  <c r="G39" i="7" s="1"/>
  <c r="H39" i="7" s="1"/>
  <c r="I39" i="7" s="1"/>
  <c r="E42" i="6"/>
  <c r="F42" i="6" s="1"/>
  <c r="G42" i="6" s="1"/>
  <c r="H42" i="6" s="1"/>
  <c r="I42" i="6" s="1"/>
  <c r="E38" i="5"/>
  <c r="F38" i="5" s="1"/>
  <c r="G38" i="5" s="1"/>
  <c r="H38" i="5" s="1"/>
  <c r="I38" i="5" s="1"/>
  <c r="E38" i="4"/>
  <c r="F38" i="4" s="1"/>
  <c r="G38" i="4" s="1"/>
  <c r="H38" i="4" s="1"/>
  <c r="I38" i="4" s="1"/>
  <c r="I37" i="2"/>
  <c r="J37" i="2" s="1"/>
  <c r="F38" i="2"/>
  <c r="G38" i="2" s="1"/>
  <c r="H38" i="2" s="1"/>
  <c r="E40" i="8" l="1"/>
  <c r="F40" i="8" s="1"/>
  <c r="G40" i="8" s="1"/>
  <c r="H40" i="8" s="1"/>
  <c r="I40" i="8" s="1"/>
  <c r="E40" i="7"/>
  <c r="F40" i="7" s="1"/>
  <c r="G40" i="7" s="1"/>
  <c r="H40" i="7" s="1"/>
  <c r="I40" i="7" s="1"/>
  <c r="E43" i="6"/>
  <c r="F43" i="6" s="1"/>
  <c r="G43" i="6"/>
  <c r="H43" i="6" s="1"/>
  <c r="I43" i="6" s="1"/>
  <c r="E39" i="5"/>
  <c r="F39" i="5" s="1"/>
  <c r="G39" i="5" s="1"/>
  <c r="H39" i="5" s="1"/>
  <c r="I39" i="5" s="1"/>
  <c r="E39" i="4"/>
  <c r="F39" i="4" s="1"/>
  <c r="G39" i="4"/>
  <c r="H39" i="4" s="1"/>
  <c r="I39" i="4" s="1"/>
  <c r="F39" i="2"/>
  <c r="G39" i="2" s="1"/>
  <c r="H39" i="2" s="1"/>
  <c r="I38" i="2"/>
  <c r="J38" i="2" s="1"/>
  <c r="E41" i="8" l="1"/>
  <c r="F41" i="8" s="1"/>
  <c r="G41" i="8"/>
  <c r="H41" i="8" s="1"/>
  <c r="I41" i="8" s="1"/>
  <c r="E41" i="7"/>
  <c r="F41" i="7" s="1"/>
  <c r="G41" i="7" s="1"/>
  <c r="H41" i="7" s="1"/>
  <c r="I41" i="7" s="1"/>
  <c r="E44" i="6"/>
  <c r="F44" i="6" s="1"/>
  <c r="G44" i="6" s="1"/>
  <c r="H44" i="6" s="1"/>
  <c r="I44" i="6" s="1"/>
  <c r="E40" i="5"/>
  <c r="F40" i="5" s="1"/>
  <c r="G40" i="5" s="1"/>
  <c r="H40" i="5" s="1"/>
  <c r="I40" i="5" s="1"/>
  <c r="E40" i="4"/>
  <c r="F40" i="4" s="1"/>
  <c r="G40" i="4" s="1"/>
  <c r="H40" i="4" s="1"/>
  <c r="I40" i="4" s="1"/>
  <c r="I39" i="2"/>
  <c r="J39" i="2" s="1"/>
  <c r="F40" i="2"/>
  <c r="G40" i="2" s="1"/>
  <c r="H40" i="2" s="1"/>
  <c r="E42" i="8" l="1"/>
  <c r="F42" i="8" s="1"/>
  <c r="G42" i="8"/>
  <c r="H42" i="8" s="1"/>
  <c r="I42" i="8" s="1"/>
  <c r="E42" i="7"/>
  <c r="F42" i="7" s="1"/>
  <c r="G42" i="7" s="1"/>
  <c r="H42" i="7" s="1"/>
  <c r="I42" i="7" s="1"/>
  <c r="E45" i="6"/>
  <c r="F45" i="6" s="1"/>
  <c r="G45" i="6" s="1"/>
  <c r="H45" i="6" s="1"/>
  <c r="I45" i="6" s="1"/>
  <c r="E41" i="5"/>
  <c r="F41" i="5" s="1"/>
  <c r="G41" i="5" s="1"/>
  <c r="H41" i="5" s="1"/>
  <c r="I41" i="5" s="1"/>
  <c r="E41" i="4"/>
  <c r="F41" i="4" s="1"/>
  <c r="G41" i="4" s="1"/>
  <c r="H41" i="4" s="1"/>
  <c r="I41" i="4" s="1"/>
  <c r="F41" i="2"/>
  <c r="G41" i="2" s="1"/>
  <c r="H41" i="2" s="1"/>
  <c r="I40" i="2"/>
  <c r="J40" i="2" s="1"/>
  <c r="E43" i="8" l="1"/>
  <c r="F43" i="8" s="1"/>
  <c r="G43" i="8" s="1"/>
  <c r="H43" i="8" s="1"/>
  <c r="I43" i="8" s="1"/>
  <c r="E43" i="7"/>
  <c r="F43" i="7" s="1"/>
  <c r="G43" i="7" s="1"/>
  <c r="H43" i="7" s="1"/>
  <c r="I43" i="7" s="1"/>
  <c r="E46" i="6"/>
  <c r="F46" i="6" s="1"/>
  <c r="G46" i="6"/>
  <c r="H46" i="6" s="1"/>
  <c r="I46" i="6" s="1"/>
  <c r="E42" i="5"/>
  <c r="F42" i="5" s="1"/>
  <c r="G42" i="5" s="1"/>
  <c r="H42" i="5" s="1"/>
  <c r="I42" i="5" s="1"/>
  <c r="E42" i="4"/>
  <c r="F42" i="4" s="1"/>
  <c r="G42" i="4" s="1"/>
  <c r="H42" i="4" s="1"/>
  <c r="I42" i="4" s="1"/>
  <c r="F42" i="2"/>
  <c r="G42" i="2" s="1"/>
  <c r="H42" i="2" s="1"/>
  <c r="I41" i="2"/>
  <c r="J41" i="2" s="1"/>
  <c r="E44" i="8" l="1"/>
  <c r="F44" i="8" s="1"/>
  <c r="G44" i="8" s="1"/>
  <c r="H44" i="8" s="1"/>
  <c r="I44" i="8" s="1"/>
  <c r="E44" i="7"/>
  <c r="F44" i="7" s="1"/>
  <c r="G44" i="7"/>
  <c r="H44" i="7" s="1"/>
  <c r="I44" i="7" s="1"/>
  <c r="E47" i="6"/>
  <c r="F47" i="6" s="1"/>
  <c r="G47" i="6" s="1"/>
  <c r="H47" i="6" s="1"/>
  <c r="I47" i="6" s="1"/>
  <c r="E43" i="5"/>
  <c r="F43" i="5" s="1"/>
  <c r="G43" i="5" s="1"/>
  <c r="H43" i="5" s="1"/>
  <c r="I43" i="5" s="1"/>
  <c r="E43" i="4"/>
  <c r="F43" i="4" s="1"/>
  <c r="G43" i="4" s="1"/>
  <c r="H43" i="4" s="1"/>
  <c r="I43" i="4" s="1"/>
  <c r="I42" i="2"/>
  <c r="J42" i="2" s="1"/>
  <c r="F43" i="2"/>
  <c r="G43" i="2" s="1"/>
  <c r="H43" i="2" s="1"/>
  <c r="E45" i="8" l="1"/>
  <c r="F45" i="8" s="1"/>
  <c r="G45" i="8"/>
  <c r="H45" i="8" s="1"/>
  <c r="I45" i="8" s="1"/>
  <c r="E45" i="7"/>
  <c r="F45" i="7" s="1"/>
  <c r="G45" i="7" s="1"/>
  <c r="H45" i="7" s="1"/>
  <c r="I45" i="7" s="1"/>
  <c r="E48" i="6"/>
  <c r="F48" i="6" s="1"/>
  <c r="G48" i="6" s="1"/>
  <c r="H48" i="6" s="1"/>
  <c r="I48" i="6" s="1"/>
  <c r="E44" i="5"/>
  <c r="F44" i="5" s="1"/>
  <c r="G44" i="5" s="1"/>
  <c r="H44" i="5" s="1"/>
  <c r="I44" i="5" s="1"/>
  <c r="E44" i="4"/>
  <c r="F44" i="4" s="1"/>
  <c r="G44" i="4" s="1"/>
  <c r="H44" i="4" s="1"/>
  <c r="I44" i="4" s="1"/>
  <c r="F44" i="2"/>
  <c r="G44" i="2" s="1"/>
  <c r="H44" i="2" s="1"/>
  <c r="I43" i="2"/>
  <c r="J43" i="2" s="1"/>
  <c r="E46" i="8" l="1"/>
  <c r="F46" i="8" s="1"/>
  <c r="G46" i="8" s="1"/>
  <c r="H46" i="8" s="1"/>
  <c r="I46" i="8" s="1"/>
  <c r="E46" i="7"/>
  <c r="F46" i="7" s="1"/>
  <c r="G46" i="7" s="1"/>
  <c r="H46" i="7" s="1"/>
  <c r="I46" i="7" s="1"/>
  <c r="E49" i="6"/>
  <c r="F49" i="6" s="1"/>
  <c r="G49" i="6" s="1"/>
  <c r="H49" i="6" s="1"/>
  <c r="I49" i="6" s="1"/>
  <c r="E45" i="5"/>
  <c r="F45" i="5" s="1"/>
  <c r="G45" i="5" s="1"/>
  <c r="H45" i="5" s="1"/>
  <c r="I45" i="5" s="1"/>
  <c r="E45" i="4"/>
  <c r="F45" i="4" s="1"/>
  <c r="G45" i="4" s="1"/>
  <c r="H45" i="4" s="1"/>
  <c r="I45" i="4" s="1"/>
  <c r="I44" i="2"/>
  <c r="J44" i="2" s="1"/>
  <c r="F45" i="2"/>
  <c r="G45" i="2" s="1"/>
  <c r="H45" i="2" s="1"/>
  <c r="E47" i="8" l="1"/>
  <c r="F47" i="8" s="1"/>
  <c r="G47" i="8" s="1"/>
  <c r="H47" i="8" s="1"/>
  <c r="I47" i="8" s="1"/>
  <c r="E47" i="7"/>
  <c r="F47" i="7" s="1"/>
  <c r="G47" i="7" s="1"/>
  <c r="H47" i="7" s="1"/>
  <c r="I47" i="7" s="1"/>
  <c r="E50" i="6"/>
  <c r="F50" i="6" s="1"/>
  <c r="G50" i="6" s="1"/>
  <c r="H50" i="6" s="1"/>
  <c r="I50" i="6" s="1"/>
  <c r="E46" i="5"/>
  <c r="F46" i="5" s="1"/>
  <c r="G46" i="5" s="1"/>
  <c r="H46" i="5" s="1"/>
  <c r="I46" i="5" s="1"/>
  <c r="E46" i="4"/>
  <c r="F46" i="4" s="1"/>
  <c r="G46" i="4" s="1"/>
  <c r="H46" i="4" s="1"/>
  <c r="I46" i="4" s="1"/>
  <c r="I45" i="2"/>
  <c r="J45" i="2" s="1"/>
  <c r="F46" i="2"/>
  <c r="G46" i="2" s="1"/>
  <c r="H46" i="2"/>
  <c r="E51" i="6" l="1"/>
  <c r="F51" i="6" s="1"/>
  <c r="G51" i="6" s="1"/>
  <c r="H51" i="6" s="1"/>
  <c r="I51" i="6" s="1"/>
  <c r="E47" i="5"/>
  <c r="F47" i="5" s="1"/>
  <c r="G47" i="5" s="1"/>
  <c r="H47" i="5" s="1"/>
  <c r="I47" i="5" s="1"/>
  <c r="E47" i="4"/>
  <c r="F47" i="4" s="1"/>
  <c r="G47" i="4" s="1"/>
  <c r="H47" i="4" s="1"/>
  <c r="I47" i="4" s="1"/>
  <c r="F47" i="2"/>
  <c r="G47" i="2" s="1"/>
  <c r="H47" i="2" s="1"/>
  <c r="I46" i="2"/>
  <c r="J46" i="2" s="1"/>
  <c r="E52" i="6" l="1"/>
  <c r="F52" i="6" s="1"/>
  <c r="G52" i="6"/>
  <c r="H52" i="6" s="1"/>
  <c r="I52" i="6" s="1"/>
  <c r="E48" i="5"/>
  <c r="F48" i="5" s="1"/>
  <c r="G48" i="5" s="1"/>
  <c r="H48" i="5" s="1"/>
  <c r="I48" i="5" s="1"/>
  <c r="I47" i="2"/>
  <c r="J47" i="2" s="1"/>
  <c r="F48" i="2"/>
  <c r="G48" i="2" s="1"/>
  <c r="H48" i="2" s="1"/>
  <c r="E53" i="6" l="1"/>
  <c r="F53" i="6" s="1"/>
  <c r="G53" i="6" s="1"/>
  <c r="H53" i="6" s="1"/>
  <c r="I53" i="6" s="1"/>
  <c r="F49" i="2"/>
  <c r="G49" i="2" s="1"/>
  <c r="H49" i="2"/>
  <c r="I48" i="2"/>
  <c r="J48" i="2" s="1"/>
  <c r="E54" i="6" l="1"/>
  <c r="F54" i="6" s="1"/>
  <c r="G54" i="6" s="1"/>
  <c r="H54" i="6" s="1"/>
  <c r="I54" i="6" s="1"/>
  <c r="I49" i="2"/>
  <c r="J49" i="2" s="1"/>
  <c r="F50" i="2"/>
  <c r="G50" i="2" s="1"/>
  <c r="H50" i="2" s="1"/>
  <c r="E55" i="6" l="1"/>
  <c r="F55" i="6" s="1"/>
  <c r="G55" i="6"/>
  <c r="H55" i="6" s="1"/>
  <c r="I55" i="6" s="1"/>
  <c r="F51" i="2"/>
  <c r="G51" i="2" s="1"/>
  <c r="H51" i="2" s="1"/>
  <c r="I50" i="2"/>
  <c r="J50" i="2" s="1"/>
  <c r="E56" i="6" l="1"/>
  <c r="F56" i="6" s="1"/>
  <c r="G56" i="6" s="1"/>
  <c r="H56" i="6" s="1"/>
  <c r="I56" i="6" s="1"/>
  <c r="I51" i="2"/>
  <c r="J51" i="2" s="1"/>
  <c r="F52" i="2"/>
  <c r="G52" i="2" s="1"/>
  <c r="H52" i="2"/>
  <c r="E57" i="6" l="1"/>
  <c r="F57" i="6" s="1"/>
  <c r="G57" i="6" s="1"/>
  <c r="H57" i="6" s="1"/>
  <c r="I57" i="6" s="1"/>
  <c r="I52" i="2"/>
  <c r="J52" i="2" s="1"/>
  <c r="F53" i="2"/>
  <c r="G53" i="2" s="1"/>
  <c r="H53" i="2" s="1"/>
  <c r="E58" i="6" l="1"/>
  <c r="F58" i="6" s="1"/>
  <c r="G58" i="6" s="1"/>
  <c r="H58" i="6" s="1"/>
  <c r="I58" i="6" s="1"/>
  <c r="I53" i="2"/>
  <c r="J53" i="2" s="1"/>
  <c r="F54" i="2"/>
  <c r="G54" i="2" s="1"/>
  <c r="H54" i="2" s="1"/>
  <c r="E59" i="6" l="1"/>
  <c r="F59" i="6" s="1"/>
  <c r="G59" i="6" s="1"/>
  <c r="H59" i="6" s="1"/>
  <c r="I59" i="6" s="1"/>
  <c r="I54" i="2"/>
  <c r="J54" i="2" s="1"/>
  <c r="F55" i="2"/>
  <c r="G55" i="2" s="1"/>
  <c r="H55" i="2" s="1"/>
  <c r="E60" i="6" l="1"/>
  <c r="F60" i="6" s="1"/>
  <c r="G60" i="6" s="1"/>
  <c r="H60" i="6" s="1"/>
  <c r="I60" i="6" s="1"/>
  <c r="I55" i="2"/>
  <c r="J55" i="2" s="1"/>
  <c r="F56" i="2"/>
  <c r="G56" i="2" s="1"/>
  <c r="H56" i="2" s="1"/>
  <c r="E61" i="6" l="1"/>
  <c r="F61" i="6" s="1"/>
  <c r="G61" i="6"/>
  <c r="H61" i="6" s="1"/>
  <c r="I61" i="6" s="1"/>
  <c r="F57" i="2"/>
  <c r="G57" i="2" s="1"/>
  <c r="H57" i="2" s="1"/>
  <c r="I56" i="2"/>
  <c r="J56" i="2" s="1"/>
  <c r="E62" i="6" l="1"/>
  <c r="F62" i="6" s="1"/>
  <c r="G62" i="6"/>
  <c r="H62" i="6" s="1"/>
  <c r="I62" i="6" s="1"/>
  <c r="I57" i="2"/>
  <c r="J57" i="2" s="1"/>
  <c r="F58" i="2"/>
  <c r="G58" i="2" s="1"/>
  <c r="H58" i="2" s="1"/>
  <c r="E63" i="6" l="1"/>
  <c r="F63" i="6" s="1"/>
  <c r="G63" i="6" s="1"/>
  <c r="H63" i="6" s="1"/>
  <c r="I63" i="6" s="1"/>
  <c r="F59" i="2"/>
  <c r="G59" i="2" s="1"/>
  <c r="H59" i="2" s="1"/>
  <c r="I59" i="2" s="1"/>
  <c r="J59" i="2" s="1"/>
  <c r="I58" i="2"/>
  <c r="J58" i="2" s="1"/>
  <c r="E64" i="6" l="1"/>
  <c r="F64" i="6" s="1"/>
  <c r="G64" i="6" s="1"/>
  <c r="H64" i="6" s="1"/>
  <c r="I64" i="6" s="1"/>
</calcChain>
</file>

<file path=xl/sharedStrings.xml><?xml version="1.0" encoding="utf-8"?>
<sst xmlns="http://schemas.openxmlformats.org/spreadsheetml/2006/main" count="202" uniqueCount="78">
  <si>
    <t>Principal o/s</t>
  </si>
  <si>
    <t>Principal Recovered</t>
  </si>
  <si>
    <t>Rental Recovered</t>
  </si>
  <si>
    <t>Total Recovery</t>
  </si>
  <si>
    <t>No. of days</t>
  </si>
  <si>
    <t>Date</t>
  </si>
  <si>
    <t>Sr. No</t>
  </si>
  <si>
    <t>Principal</t>
  </si>
  <si>
    <t>Profit / Rental</t>
  </si>
  <si>
    <t>PMT Recovery</t>
  </si>
  <si>
    <t>PMT</t>
  </si>
  <si>
    <t>Profit / Rental Recovered</t>
  </si>
  <si>
    <t>Customer's Share</t>
  </si>
  <si>
    <t>Blox's Share</t>
  </si>
  <si>
    <t>Months</t>
  </si>
  <si>
    <t>Tenure</t>
  </si>
  <si>
    <t>Updated Tenure</t>
  </si>
  <si>
    <t>Original Tenure</t>
  </si>
  <si>
    <t>Loan Amount</t>
  </si>
  <si>
    <t>Reduction of Tenure by 2 months</t>
  </si>
  <si>
    <t>Impact</t>
  </si>
  <si>
    <t>Downpayment</t>
  </si>
  <si>
    <t>Part Payment Amount</t>
  </si>
  <si>
    <t xml:space="preserve">Foreclosure Date </t>
  </si>
  <si>
    <t>Vehicle Cost</t>
  </si>
  <si>
    <t>Part Payment as on</t>
  </si>
  <si>
    <t>non-compounding rental - for the deferral opted by the customer, there will be no additional rental charged to the customer on non-repayment. However, the interest will be collected after holiday is over</t>
  </si>
  <si>
    <t xml:space="preserve">Method of computation </t>
  </si>
  <si>
    <t>No. of Days (Between disbursement and due date)</t>
  </si>
  <si>
    <t>No. of Days (Between disbursement and due date) - BPI</t>
  </si>
  <si>
    <t xml:space="preserve">PMT </t>
  </si>
  <si>
    <t>Profit / Rental %</t>
  </si>
  <si>
    <t>Maturity Date</t>
  </si>
  <si>
    <t>1st Due Date</t>
  </si>
  <si>
    <t>Date of Disbursement</t>
  </si>
  <si>
    <t>Foreclosure of loan</t>
  </si>
  <si>
    <t>Scenario - 7</t>
  </si>
  <si>
    <t>Part Payment is made after BPI Period</t>
  </si>
  <si>
    <t>Scenario -6</t>
  </si>
  <si>
    <t>Part Payment is made during BPI Period</t>
  </si>
  <si>
    <t>Scenario -5</t>
  </si>
  <si>
    <t>Due date and Disbursement date is on same day with Membership and user has opted for deferral of 3 months</t>
  </si>
  <si>
    <t>Scenario - 4</t>
  </si>
  <si>
    <t>Disbursement is after 15th of month(excluding 15th)</t>
  </si>
  <si>
    <t>Scenario 3</t>
  </si>
  <si>
    <r>
      <t xml:space="preserve">Disbursement is on or before </t>
    </r>
    <r>
      <rPr>
        <b/>
        <sz val="12"/>
        <color rgb="FFFF0000"/>
        <rFont val="Aptos Narrow (Body)"/>
      </rPr>
      <t>15th</t>
    </r>
    <r>
      <rPr>
        <b/>
        <sz val="12"/>
        <color theme="1"/>
        <rFont val="Aptos Narrow"/>
        <scheme val="minor"/>
      </rPr>
      <t xml:space="preserve"> of month</t>
    </r>
  </si>
  <si>
    <t>Scenario 2</t>
  </si>
  <si>
    <t>Due date and Disbursement date is on same day</t>
  </si>
  <si>
    <t>Scenario 1</t>
  </si>
  <si>
    <t>PartPayment is made after BPI Period is completed</t>
  </si>
  <si>
    <t>Reduction of Tenure, keeping Installment same</t>
  </si>
  <si>
    <t>PartPayment is made during BPI Period</t>
  </si>
  <si>
    <t>Loan is deffered for 3 months</t>
  </si>
  <si>
    <t>Disbursement is after 15th of month</t>
  </si>
  <si>
    <t>Disbursement is on or before 15 th of month</t>
  </si>
  <si>
    <t>Disbursement and due date is on same day i.e. Exactly 30 days part</t>
  </si>
  <si>
    <t>Scenarios</t>
  </si>
  <si>
    <t>There are no penalities charged to the customer incase of default</t>
  </si>
  <si>
    <t xml:space="preserve">All are rounded values, no collection in paise. Example if Interest computation results in 30282.20, collection will be for 30282 and vice versa if interest collection results in30282.70, it will result in 30283 </t>
  </si>
  <si>
    <t>Due date is fixed for all customers on 5th of every month</t>
  </si>
  <si>
    <t>Year comprise of 360 days</t>
  </si>
  <si>
    <t>There are 30 days in a month</t>
  </si>
  <si>
    <t>Assumptions</t>
  </si>
  <si>
    <t>Scenario - 8</t>
  </si>
  <si>
    <t xml:space="preserve">One time settlment </t>
  </si>
  <si>
    <t>Settlement Amount</t>
  </si>
  <si>
    <t>will be written off Interest</t>
  </si>
  <si>
    <t>will be written off Principal</t>
  </si>
  <si>
    <t>Customer' Share</t>
  </si>
  <si>
    <t>Tenure after foreclosure</t>
  </si>
  <si>
    <t>Blox's Ownership</t>
  </si>
  <si>
    <t>Customer's Ownership</t>
  </si>
  <si>
    <t>Odd Amount Adjustment</t>
  </si>
  <si>
    <t>Blox's Owership</t>
  </si>
  <si>
    <t>Customer's Owership</t>
  </si>
  <si>
    <t>BPI is collected with 1st installment due keeping EMI Constant</t>
  </si>
  <si>
    <t>1. BPI is collected with 1st installment due keeping EMI Constant
2. Odd amount is adjusted in last installment</t>
  </si>
  <si>
    <t>One time settlement and Write off Loan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</si>
</sst>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43" formatCode="_(* #,##0.00_);_(* \(#,##0.00\);_(* &quot;-&quot;??_);_(@_)"/>
    <numFmt numFmtId="164" formatCode="_(* #,##0_);_(* \(#,##0\);_(* &quot;-&quot;??_);_(@_)"/>
    <numFmt numFmtId="165" formatCode="&quot;₹&quot;#,##0"/>
  </numFmts>
  <fonts count="7" x14ac:knownFonts="1">
    <font>
      <sz val="12"/>
      <color theme="1"/>
      <name val="Aptos Narrow"/>
      <family val="2"/>
      <scheme val="minor"/>
    </font>
    <font>
      <sz val="12"/>
      <color theme="1"/>
      <name val="Aptos Narrow"/>
      <family val="2"/>
      <scheme val="minor"/>
    </font>
    <font>
      <b/>
      <sz val="12"/>
      <color theme="1"/>
      <name val="Aptos Narrow"/>
      <scheme val="minor"/>
    </font>
    <font>
      <u/>
      <sz val="12"/>
      <color theme="10"/>
      <name val="Aptos Narrow"/>
      <family val="2"/>
      <scheme val="minor"/>
    </font>
    <font>
      <b/>
      <sz val="12"/>
      <color rgb="FFFF0000"/>
      <name val="Aptos Narrow (Body)"/>
    </font>
    <font>
      <sz val="12"/>
      <color theme="1"/>
      <name val="Arial"/>
      <family val="2"/>
    </font>
    <font>
      <b/>
      <sz val="12"/>
      <color theme="0"/>
      <name val="Arial"/>
      <family val="2"/>
    </font>
  </fonts>
  <fills count="10">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3" tint="0.49998474074526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3" tint="0.749992370372631"/>
        <bgColor indexed="64"/>
      </patternFill>
    </fill>
    <fill>
      <patternFill patternType="solid">
        <fgColor theme="2" tint="-9.9978637043366805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cellStyleXfs>
  <cellXfs count="60">
    <xf numFmtId="0" fontId="0" fillId="0" borderId="0" xfId="0"/>
    <xf numFmtId="0" fontId="0" fillId="0" borderId="0" xfId="0" applyAlignment="1">
      <alignment wrapText="1"/>
    </xf>
    <xf numFmtId="2" fontId="0" fillId="0" borderId="1" xfId="0" applyNumberFormat="1" applyBorder="1" applyAlignment="1">
      <alignment wrapText="1"/>
    </xf>
    <xf numFmtId="1" fontId="0" fillId="0" borderId="1" xfId="0" applyNumberFormat="1" applyBorder="1" applyAlignment="1">
      <alignment wrapText="1"/>
    </xf>
    <xf numFmtId="0" fontId="0" fillId="0" borderId="1" xfId="0" applyBorder="1" applyAlignment="1">
      <alignment wrapText="1"/>
    </xf>
    <xf numFmtId="15" fontId="0" fillId="0" borderId="1" xfId="0" applyNumberFormat="1" applyBorder="1" applyAlignment="1">
      <alignment wrapText="1"/>
    </xf>
    <xf numFmtId="10" fontId="0" fillId="0" borderId="1" xfId="0" applyNumberFormat="1" applyBorder="1" applyAlignment="1">
      <alignment wrapText="1"/>
    </xf>
    <xf numFmtId="6" fontId="0" fillId="0" borderId="1" xfId="0" applyNumberFormat="1" applyBorder="1" applyAlignment="1">
      <alignment wrapText="1"/>
    </xf>
    <xf numFmtId="8" fontId="0" fillId="0" borderId="1" xfId="0" applyNumberFormat="1" applyBorder="1" applyAlignment="1">
      <alignment wrapText="1"/>
    </xf>
    <xf numFmtId="0" fontId="0" fillId="2" borderId="1" xfId="0" applyFill="1" applyBorder="1" applyAlignment="1">
      <alignment wrapText="1"/>
    </xf>
    <xf numFmtId="15" fontId="0" fillId="2" borderId="1" xfId="0" applyNumberFormat="1" applyFill="1" applyBorder="1" applyAlignment="1">
      <alignment wrapText="1"/>
    </xf>
    <xf numFmtId="0" fontId="2" fillId="0" borderId="0" xfId="0" applyFont="1" applyAlignment="1">
      <alignment wrapText="1"/>
    </xf>
    <xf numFmtId="164" fontId="0" fillId="0" borderId="1" xfId="0" applyNumberFormat="1" applyBorder="1" applyAlignment="1">
      <alignment wrapText="1"/>
    </xf>
    <xf numFmtId="1" fontId="0" fillId="2" borderId="1" xfId="0" applyNumberFormat="1" applyFill="1" applyBorder="1" applyAlignment="1">
      <alignment wrapText="1"/>
    </xf>
    <xf numFmtId="8" fontId="0" fillId="0" borderId="0" xfId="0" applyNumberFormat="1" applyAlignment="1">
      <alignment wrapText="1"/>
    </xf>
    <xf numFmtId="0" fontId="0" fillId="4" borderId="1" xfId="0" applyFill="1" applyBorder="1" applyAlignment="1">
      <alignment wrapText="1"/>
    </xf>
    <xf numFmtId="15" fontId="0" fillId="4" borderId="1" xfId="0" applyNumberFormat="1" applyFill="1" applyBorder="1" applyAlignment="1">
      <alignment wrapText="1"/>
    </xf>
    <xf numFmtId="2" fontId="0" fillId="0" borderId="0" xfId="0" applyNumberFormat="1" applyAlignment="1">
      <alignment wrapText="1"/>
    </xf>
    <xf numFmtId="2" fontId="0" fillId="2" borderId="1" xfId="0" applyNumberFormat="1" applyFill="1" applyBorder="1" applyAlignment="1">
      <alignment wrapText="1"/>
    </xf>
    <xf numFmtId="9" fontId="0" fillId="0" borderId="0" xfId="0" applyNumberFormat="1" applyAlignment="1">
      <alignment wrapText="1"/>
    </xf>
    <xf numFmtId="1" fontId="0" fillId="4" borderId="1" xfId="0" applyNumberFormat="1" applyFill="1" applyBorder="1" applyAlignment="1">
      <alignment wrapText="1"/>
    </xf>
    <xf numFmtId="164" fontId="0" fillId="4" borderId="1" xfId="0" applyNumberFormat="1" applyFill="1" applyBorder="1" applyAlignment="1">
      <alignment wrapText="1"/>
    </xf>
    <xf numFmtId="43" fontId="0" fillId="4" borderId="1" xfId="0" applyNumberFormat="1" applyFill="1" applyBorder="1" applyAlignment="1">
      <alignment wrapText="1"/>
    </xf>
    <xf numFmtId="3" fontId="0" fillId="4" borderId="1" xfId="0" applyNumberFormat="1" applyFill="1" applyBorder="1" applyAlignment="1">
      <alignment wrapText="1"/>
    </xf>
    <xf numFmtId="10" fontId="0" fillId="0" borderId="0" xfId="0" applyNumberFormat="1" applyAlignment="1">
      <alignment wrapText="1"/>
    </xf>
    <xf numFmtId="0" fontId="2" fillId="0" borderId="1" xfId="0" applyFont="1" applyBorder="1" applyAlignment="1">
      <alignment wrapText="1"/>
    </xf>
    <xf numFmtId="165" fontId="0" fillId="0" borderId="1" xfId="0" applyNumberFormat="1" applyBorder="1" applyAlignment="1">
      <alignment wrapText="1"/>
    </xf>
    <xf numFmtId="164" fontId="0" fillId="0" borderId="1" xfId="1" applyNumberFormat="1" applyFont="1" applyBorder="1" applyAlignment="1">
      <alignment wrapText="1"/>
    </xf>
    <xf numFmtId="3" fontId="0" fillId="0" borderId="1" xfId="0" applyNumberFormat="1" applyBorder="1" applyAlignment="1">
      <alignment wrapText="1"/>
    </xf>
    <xf numFmtId="9" fontId="0" fillId="0" borderId="1" xfId="0" applyNumberFormat="1" applyBorder="1" applyAlignment="1">
      <alignment wrapText="1"/>
    </xf>
    <xf numFmtId="0" fontId="3" fillId="0" borderId="0" xfId="3" applyAlignment="1"/>
    <xf numFmtId="0" fontId="2" fillId="0" borderId="0" xfId="0" applyFont="1"/>
    <xf numFmtId="0" fontId="3" fillId="0" borderId="1" xfId="3" applyBorder="1"/>
    <xf numFmtId="0" fontId="5" fillId="0" borderId="1" xfId="0" applyFont="1" applyBorder="1"/>
    <xf numFmtId="0" fontId="5" fillId="0" borderId="2" xfId="0" applyFont="1" applyBorder="1"/>
    <xf numFmtId="0" fontId="6" fillId="5" borderId="1" xfId="0" applyFont="1" applyFill="1" applyBorder="1"/>
    <xf numFmtId="0" fontId="5" fillId="0" borderId="0" xfId="0" applyFont="1"/>
    <xf numFmtId="9" fontId="0" fillId="0" borderId="0" xfId="0" applyNumberFormat="1"/>
    <xf numFmtId="0" fontId="5" fillId="0" borderId="1" xfId="0" applyFont="1" applyBorder="1" applyAlignment="1">
      <alignment wrapText="1"/>
    </xf>
    <xf numFmtId="1" fontId="0" fillId="0" borderId="1" xfId="1" applyNumberFormat="1" applyFont="1" applyBorder="1" applyAlignment="1">
      <alignment wrapText="1"/>
    </xf>
    <xf numFmtId="1" fontId="0" fillId="6" borderId="1" xfId="0" applyNumberFormat="1" applyFill="1" applyBorder="1" applyAlignment="1">
      <alignment wrapText="1"/>
    </xf>
    <xf numFmtId="1" fontId="0" fillId="0" borderId="0" xfId="0" applyNumberFormat="1"/>
    <xf numFmtId="0" fontId="0" fillId="7" borderId="1" xfId="0" applyFill="1" applyBorder="1" applyAlignment="1">
      <alignment wrapText="1"/>
    </xf>
    <xf numFmtId="15" fontId="0" fillId="7" borderId="1" xfId="0" applyNumberFormat="1" applyFill="1" applyBorder="1" applyAlignment="1">
      <alignment wrapText="1"/>
    </xf>
    <xf numFmtId="1" fontId="0" fillId="7" borderId="1" xfId="0" applyNumberFormat="1" applyFill="1" applyBorder="1" applyAlignment="1">
      <alignment wrapText="1"/>
    </xf>
    <xf numFmtId="9" fontId="0" fillId="0" borderId="1" xfId="2" applyFont="1" applyBorder="1"/>
    <xf numFmtId="9" fontId="0" fillId="0" borderId="1" xfId="0" applyNumberFormat="1" applyBorder="1"/>
    <xf numFmtId="9" fontId="0" fillId="7" borderId="1" xfId="2" applyFont="1" applyFill="1" applyBorder="1"/>
    <xf numFmtId="9" fontId="0" fillId="7" borderId="1" xfId="0" applyNumberFormat="1" applyFill="1" applyBorder="1"/>
    <xf numFmtId="9" fontId="0" fillId="0" borderId="1" xfId="2" applyFont="1" applyBorder="1" applyAlignment="1">
      <alignment wrapText="1"/>
    </xf>
    <xf numFmtId="0" fontId="2" fillId="8" borderId="1" xfId="0" applyFont="1" applyFill="1" applyBorder="1" applyAlignment="1">
      <alignment wrapText="1"/>
    </xf>
    <xf numFmtId="164" fontId="0" fillId="4" borderId="1" xfId="1" applyNumberFormat="1" applyFont="1" applyFill="1" applyBorder="1" applyAlignment="1">
      <alignment wrapText="1"/>
    </xf>
    <xf numFmtId="164" fontId="0" fillId="3" borderId="1" xfId="1" applyNumberFormat="1" applyFont="1" applyFill="1" applyBorder="1" applyAlignment="1">
      <alignment wrapText="1"/>
    </xf>
    <xf numFmtId="0" fontId="0" fillId="8" borderId="1" xfId="0" applyFill="1" applyBorder="1" applyAlignment="1">
      <alignment wrapText="1"/>
    </xf>
    <xf numFmtId="0" fontId="2" fillId="6" borderId="0" xfId="0" applyFont="1" applyFill="1"/>
    <xf numFmtId="0" fontId="0" fillId="9" borderId="1" xfId="0" applyFill="1" applyBorder="1" applyAlignment="1">
      <alignment wrapText="1"/>
    </xf>
    <xf numFmtId="15" fontId="0" fillId="9" borderId="1" xfId="0" applyNumberFormat="1" applyFill="1" applyBorder="1" applyAlignment="1">
      <alignment wrapText="1"/>
    </xf>
    <xf numFmtId="164" fontId="0" fillId="9" borderId="1" xfId="0" applyNumberFormat="1" applyFill="1" applyBorder="1" applyAlignment="1">
      <alignment wrapText="1"/>
    </xf>
    <xf numFmtId="164" fontId="0" fillId="2" borderId="1" xfId="1" applyNumberFormat="1" applyFont="1" applyFill="1" applyBorder="1" applyAlignment="1">
      <alignment wrapText="1"/>
    </xf>
    <xf numFmtId="0" fontId="2" fillId="8" borderId="0" xfId="0" applyFont="1" applyFill="1" applyAlignment="1">
      <alignment wrapText="1"/>
    </xf>
  </cellXfs>
  <cellStyles count="4">
    <cellStyle name="Comma" xfId="1" builtinId="3"/>
    <cellStyle name="Hyperlink" xfId="3" builtinId="8"/>
    <cellStyle name="Normal" xfId="0" builtinId="0"/>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8B91D-842B-5E4A-87D7-EA7AFD07597C}">
  <dimension ref="B2:F17"/>
  <sheetViews>
    <sheetView zoomScale="150" workbookViewId="0">
      <selection activeCell="C13" sqref="C13"/>
    </sheetView>
  </sheetViews>
  <sheetFormatPr baseColWidth="10" defaultColWidth="11" defaultRowHeight="16" x14ac:dyDescent="0.2"/>
  <cols>
    <col min="3" max="3" width="64" bestFit="1" customWidth="1"/>
  </cols>
  <sheetData>
    <row r="2" spans="2:6" x14ac:dyDescent="0.2">
      <c r="B2" s="35" t="s">
        <v>6</v>
      </c>
      <c r="C2" s="35" t="s">
        <v>62</v>
      </c>
    </row>
    <row r="3" spans="2:6" x14ac:dyDescent="0.2">
      <c r="B3" s="33">
        <v>1</v>
      </c>
      <c r="C3" s="33" t="s">
        <v>61</v>
      </c>
    </row>
    <row r="4" spans="2:6" x14ac:dyDescent="0.2">
      <c r="B4" s="33">
        <v>2</v>
      </c>
      <c r="C4" s="33" t="s">
        <v>60</v>
      </c>
    </row>
    <row r="5" spans="2:6" x14ac:dyDescent="0.2">
      <c r="B5" s="33">
        <v>3</v>
      </c>
      <c r="C5" s="33" t="s">
        <v>59</v>
      </c>
    </row>
    <row r="6" spans="2:6" ht="68" x14ac:dyDescent="0.2">
      <c r="B6" s="33">
        <v>4</v>
      </c>
      <c r="C6" s="38" t="s">
        <v>58</v>
      </c>
      <c r="F6" s="37"/>
    </row>
    <row r="7" spans="2:6" x14ac:dyDescent="0.2">
      <c r="B7" s="33">
        <v>5</v>
      </c>
      <c r="C7" s="33" t="s">
        <v>57</v>
      </c>
    </row>
    <row r="8" spans="2:6" x14ac:dyDescent="0.2">
      <c r="B8" s="36"/>
      <c r="C8" s="36"/>
    </row>
    <row r="9" spans="2:6" x14ac:dyDescent="0.2">
      <c r="B9" s="35" t="s">
        <v>6</v>
      </c>
      <c r="C9" s="35" t="s">
        <v>56</v>
      </c>
    </row>
    <row r="10" spans="2:6" x14ac:dyDescent="0.2">
      <c r="B10" s="33">
        <v>1</v>
      </c>
      <c r="C10" s="32" t="s">
        <v>55</v>
      </c>
    </row>
    <row r="11" spans="2:6" x14ac:dyDescent="0.2">
      <c r="B11" s="33">
        <v>2</v>
      </c>
      <c r="C11" s="32" t="s">
        <v>54</v>
      </c>
    </row>
    <row r="12" spans="2:6" x14ac:dyDescent="0.2">
      <c r="B12" s="33">
        <v>3</v>
      </c>
      <c r="C12" s="32" t="s">
        <v>53</v>
      </c>
    </row>
    <row r="13" spans="2:6" x14ac:dyDescent="0.2">
      <c r="B13" s="33">
        <v>4</v>
      </c>
      <c r="C13" s="32" t="s">
        <v>52</v>
      </c>
    </row>
    <row r="14" spans="2:6" x14ac:dyDescent="0.2">
      <c r="B14" s="33">
        <v>5</v>
      </c>
      <c r="C14" s="32" t="s">
        <v>51</v>
      </c>
      <c r="D14" t="s">
        <v>50</v>
      </c>
    </row>
    <row r="15" spans="2:6" x14ac:dyDescent="0.2">
      <c r="B15" s="34">
        <v>6</v>
      </c>
      <c r="C15" s="32" t="s">
        <v>49</v>
      </c>
    </row>
    <row r="16" spans="2:6" x14ac:dyDescent="0.2">
      <c r="B16" s="33">
        <v>7</v>
      </c>
      <c r="C16" s="32" t="s">
        <v>35</v>
      </c>
    </row>
    <row r="17" spans="2:3" x14ac:dyDescent="0.2">
      <c r="B17" s="33">
        <v>8</v>
      </c>
      <c r="C17" s="32" t="s">
        <v>77</v>
      </c>
    </row>
  </sheetData>
  <hyperlinks>
    <hyperlink ref="C10" location="'Disbursement and due date same'!A1" display="Disbursement and due date is on same day i.e. Exactly 30 days part" xr:uid="{05B6FA01-8FB7-8E4F-B540-DCF8B9239734}"/>
    <hyperlink ref="C11" location="'Disbursement before 15'!A1" display="Disbursement is on or before 15 th of month" xr:uid="{24E471A2-2AC9-FD4C-AE3E-412E34768D34}"/>
    <hyperlink ref="C12" location="'Disbursement after 15'!A1" display="Disbursement is after 15th of month" xr:uid="{DD8DEE55-490E-1149-A07C-67A02B967203}"/>
    <hyperlink ref="C13" location="'Loan with deferral'!A1" display="Loan is deffered for 3 months" xr:uid="{30BF5274-5516-944F-8422-35C8F66D76DA}"/>
    <hyperlink ref="C14" location="'Part Payment received in BPI'!A1" display="PartPayment is made during BPI Period" xr:uid="{B206952F-6F1A-3B49-894B-AF7A535D1A7E}"/>
    <hyperlink ref="C15" location="'PP after BPI'!A1" display="PartPayment is made after BPI Period is completed" xr:uid="{DC8C42A9-5B60-E141-BE53-3954657F399B}"/>
    <hyperlink ref="C16" location="'Foreclosure of loan'!A1" display="Foreclosure of loan" xr:uid="{F5BCD8F4-9A92-5242-9D06-3B783AA7074E}"/>
    <hyperlink ref="C17" location="'OTS and Write off'!A1" display="One time settlement and Write off Loan" xr:uid="{CE101DC0-8B6B-FC42-9B4C-E74A3398263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8BF4C-1D1B-9F4E-A0A6-97701AF7158A}">
  <dimension ref="A1:BM59"/>
  <sheetViews>
    <sheetView zoomScale="142" workbookViewId="0">
      <selection activeCell="E1" sqref="E1"/>
    </sheetView>
  </sheetViews>
  <sheetFormatPr baseColWidth="10" defaultColWidth="10.83203125" defaultRowHeight="16" x14ac:dyDescent="0.2"/>
  <cols>
    <col min="1" max="1" width="10.83203125" style="1"/>
    <col min="2" max="2" width="18.83203125" style="1" bestFit="1" customWidth="1"/>
    <col min="3" max="3" width="12" style="1" bestFit="1" customWidth="1"/>
    <col min="4" max="4" width="10.33203125" style="1" bestFit="1" customWidth="1"/>
    <col min="5" max="5" width="11.6640625" style="1" bestFit="1" customWidth="1"/>
    <col min="6" max="6" width="15.83203125" style="1" bestFit="1" customWidth="1"/>
    <col min="7" max="8" width="12" style="1" bestFit="1" customWidth="1"/>
    <col min="9" max="9" width="11.33203125" style="1" bestFit="1" customWidth="1"/>
    <col min="10" max="10" width="16" style="1" bestFit="1" customWidth="1"/>
    <col min="11" max="11" width="33.33203125" style="1" customWidth="1"/>
    <col min="12" max="12" width="18.83203125" style="1" bestFit="1" customWidth="1"/>
    <col min="13" max="13" width="9.83203125" style="1" bestFit="1" customWidth="1"/>
    <col min="14" max="14" width="10.83203125" style="1"/>
    <col min="15" max="15" width="20.5" style="1" customWidth="1"/>
    <col min="16" max="16" width="17.6640625" style="1" bestFit="1" customWidth="1"/>
    <col min="17" max="17" width="16.83203125" style="1" customWidth="1"/>
    <col min="18" max="18" width="12.5" style="1" bestFit="1" customWidth="1"/>
    <col min="19" max="20" width="10.83203125" style="1"/>
    <col min="21" max="21" width="19.5" style="1" bestFit="1" customWidth="1"/>
    <col min="22" max="23" width="10.83203125" style="1"/>
    <col min="24" max="24" width="21.1640625" style="1" customWidth="1"/>
    <col min="25" max="25" width="24.33203125" style="1" customWidth="1"/>
    <col min="26" max="26" width="11" style="1" bestFit="1" customWidth="1"/>
    <col min="27" max="27" width="12" style="1" bestFit="1" customWidth="1"/>
    <col min="28" max="32" width="10.83203125" style="1"/>
    <col min="33" max="33" width="11.83203125" style="1" bestFit="1" customWidth="1"/>
    <col min="34" max="34" width="34.5" style="1" customWidth="1"/>
    <col min="35" max="35" width="10.83203125" style="1"/>
    <col min="36" max="36" width="12" style="1" bestFit="1" customWidth="1"/>
    <col min="37" max="37" width="10.83203125" style="1"/>
    <col min="38" max="38" width="13.1640625" style="1" bestFit="1" customWidth="1"/>
    <col min="39" max="39" width="12.83203125" style="1" bestFit="1" customWidth="1"/>
    <col min="40" max="40" width="10.83203125" style="1"/>
    <col min="41" max="41" width="20.5" style="1" customWidth="1"/>
    <col min="42" max="42" width="22.6640625" style="1" customWidth="1"/>
    <col min="43" max="46" width="10.83203125" style="1"/>
    <col min="47" max="47" width="14.33203125" style="1" bestFit="1" customWidth="1"/>
    <col min="48" max="49" width="10.83203125" style="1"/>
    <col min="50" max="50" width="16.5" style="1" bestFit="1" customWidth="1"/>
    <col min="51" max="51" width="15.83203125" style="1" bestFit="1" customWidth="1"/>
    <col min="52" max="52" width="10.83203125" style="1"/>
    <col min="53" max="53" width="12.1640625" style="1" bestFit="1" customWidth="1"/>
    <col min="54" max="58" width="10.83203125" style="1"/>
    <col min="59" max="59" width="15.5" style="1" bestFit="1" customWidth="1"/>
    <col min="60" max="60" width="10.83203125" style="1"/>
    <col min="61" max="61" width="13.1640625" style="1" bestFit="1" customWidth="1"/>
    <col min="62" max="62" width="12.1640625" style="1" bestFit="1" customWidth="1"/>
    <col min="63" max="64" width="10.83203125" style="1"/>
    <col min="65" max="65" width="12.1640625" style="1" bestFit="1" customWidth="1"/>
    <col min="66" max="16384" width="10.83203125" style="1"/>
  </cols>
  <sheetData>
    <row r="1" spans="1:65" customFormat="1" x14ac:dyDescent="0.2">
      <c r="A1" s="30" t="s">
        <v>48</v>
      </c>
      <c r="B1" s="31" t="s">
        <v>47</v>
      </c>
      <c r="L1" s="1"/>
      <c r="M1" s="1"/>
      <c r="N1" s="1"/>
      <c r="O1" s="1"/>
      <c r="P1" s="1"/>
      <c r="Q1" s="1"/>
      <c r="R1" s="1"/>
      <c r="S1" s="1"/>
      <c r="U1" s="1"/>
      <c r="V1" s="1"/>
      <c r="W1" s="1"/>
      <c r="X1" s="1"/>
      <c r="Y1" s="1"/>
      <c r="Z1" s="1"/>
      <c r="AA1" s="1"/>
      <c r="AD1" s="1"/>
      <c r="AE1" s="1"/>
      <c r="AF1" s="1"/>
      <c r="AG1" s="1"/>
      <c r="AH1" s="1"/>
      <c r="AI1" s="1"/>
      <c r="AJ1" s="1"/>
      <c r="AL1" s="1"/>
      <c r="AM1" s="1"/>
      <c r="AN1" s="1"/>
      <c r="AO1" s="1"/>
      <c r="AP1" s="1"/>
      <c r="AQ1" s="1"/>
      <c r="AR1" s="1"/>
      <c r="AS1" s="1"/>
      <c r="AU1" s="1"/>
      <c r="AV1" s="1"/>
      <c r="AW1" s="1"/>
      <c r="AX1" s="1"/>
      <c r="AY1" s="1"/>
      <c r="AZ1" s="1"/>
      <c r="BA1" s="1"/>
      <c r="BB1" s="1"/>
      <c r="BD1" s="1"/>
      <c r="BE1" s="1"/>
      <c r="BF1" s="1"/>
      <c r="BG1" s="1"/>
      <c r="BH1" s="1"/>
      <c r="BI1" s="1"/>
      <c r="BJ1" s="1"/>
      <c r="BK1" s="1"/>
    </row>
    <row r="2" spans="1:65" ht="34" x14ac:dyDescent="0.2">
      <c r="B2" s="50" t="s">
        <v>34</v>
      </c>
      <c r="C2" s="5">
        <v>46144</v>
      </c>
      <c r="D2" s="5"/>
      <c r="E2" s="50" t="s">
        <v>33</v>
      </c>
      <c r="F2" s="5">
        <v>46175</v>
      </c>
    </row>
    <row r="3" spans="1:65" ht="34" x14ac:dyDescent="0.2">
      <c r="B3" s="50" t="s">
        <v>31</v>
      </c>
      <c r="C3" s="29">
        <v>0.11</v>
      </c>
      <c r="D3" s="4"/>
      <c r="E3" s="59" t="s">
        <v>32</v>
      </c>
      <c r="F3" s="5">
        <f>C59</f>
        <v>47605</v>
      </c>
    </row>
    <row r="4" spans="1:65" ht="17" x14ac:dyDescent="0.2">
      <c r="B4" s="50" t="s">
        <v>24</v>
      </c>
      <c r="C4" s="28">
        <v>51400</v>
      </c>
      <c r="D4" s="4"/>
      <c r="E4" s="50" t="s">
        <v>30</v>
      </c>
      <c r="F4" s="8">
        <f>PMT(C3/12,C6,-F5)</f>
        <v>1070.0046361141465</v>
      </c>
    </row>
    <row r="5" spans="1:65" ht="34" x14ac:dyDescent="0.2">
      <c r="B5" s="50" t="s">
        <v>21</v>
      </c>
      <c r="C5" s="27">
        <f>10000</f>
        <v>10000</v>
      </c>
      <c r="D5" s="4"/>
      <c r="E5" s="50" t="s">
        <v>18</v>
      </c>
      <c r="F5" s="12">
        <f>C4-C5</f>
        <v>41400</v>
      </c>
    </row>
    <row r="6" spans="1:65" ht="17" x14ac:dyDescent="0.2">
      <c r="B6" s="50" t="s">
        <v>15</v>
      </c>
      <c r="C6" s="4">
        <v>48</v>
      </c>
      <c r="D6" s="25" t="s">
        <v>14</v>
      </c>
      <c r="E6" s="53"/>
      <c r="F6" s="4"/>
    </row>
    <row r="10" spans="1:65" ht="34" x14ac:dyDescent="0.2">
      <c r="B10" s="50" t="s">
        <v>6</v>
      </c>
      <c r="C10" s="50" t="s">
        <v>5</v>
      </c>
      <c r="D10" s="50" t="s">
        <v>4</v>
      </c>
      <c r="E10" s="50" t="s">
        <v>10</v>
      </c>
      <c r="F10" s="50" t="s">
        <v>2</v>
      </c>
      <c r="G10" s="50" t="s">
        <v>1</v>
      </c>
      <c r="H10" s="50" t="s">
        <v>0</v>
      </c>
      <c r="I10" s="50" t="s">
        <v>13</v>
      </c>
      <c r="J10" s="50" t="s">
        <v>12</v>
      </c>
    </row>
    <row r="11" spans="1:65" x14ac:dyDescent="0.2">
      <c r="B11" s="4">
        <v>0</v>
      </c>
      <c r="C11" s="5">
        <f>$C$2</f>
        <v>46144</v>
      </c>
      <c r="D11" s="4"/>
      <c r="E11" s="27"/>
      <c r="F11" s="27"/>
      <c r="G11" s="27"/>
      <c r="H11" s="27">
        <f>$F$5</f>
        <v>41400</v>
      </c>
      <c r="I11" s="6">
        <f t="shared" ref="I11:I42" si="0">(H11/$C$4)</f>
        <v>0.80544747081712065</v>
      </c>
      <c r="J11" s="6">
        <f>20%</f>
        <v>0.2</v>
      </c>
    </row>
    <row r="12" spans="1:65" x14ac:dyDescent="0.2">
      <c r="B12" s="4">
        <v>1</v>
      </c>
      <c r="C12" s="5">
        <v>46175</v>
      </c>
      <c r="D12" s="4">
        <f t="shared" ref="D12:D59" si="1">C12-C11</f>
        <v>31</v>
      </c>
      <c r="E12" s="27">
        <f t="shared" ref="E12:E59" si="2">$F$4</f>
        <v>1070.0046361141465</v>
      </c>
      <c r="F12" s="27">
        <f t="shared" ref="F12:F59" si="3">$H11*$C$3/12</f>
        <v>379.5</v>
      </c>
      <c r="G12" s="27">
        <f t="shared" ref="G12:G59" si="4">E12-F12</f>
        <v>690.50463611414648</v>
      </c>
      <c r="H12" s="27">
        <f t="shared" ref="H12:H59" si="5">H11-G12</f>
        <v>40709.495363885857</v>
      </c>
      <c r="I12" s="6">
        <f t="shared" si="0"/>
        <v>0.79201352848026962</v>
      </c>
      <c r="J12" s="6">
        <f t="shared" ref="J12:J59" si="6">100%-I12</f>
        <v>0.20798647151973038</v>
      </c>
      <c r="K12" s="24"/>
    </row>
    <row r="13" spans="1:65" x14ac:dyDescent="0.2">
      <c r="B13" s="4">
        <v>2</v>
      </c>
      <c r="C13" s="5">
        <v>46205</v>
      </c>
      <c r="D13" s="4">
        <f t="shared" si="1"/>
        <v>30</v>
      </c>
      <c r="E13" s="27">
        <f t="shared" si="2"/>
        <v>1070.0046361141465</v>
      </c>
      <c r="F13" s="27">
        <f t="shared" si="3"/>
        <v>373.17037416895369</v>
      </c>
      <c r="G13" s="27">
        <f t="shared" si="4"/>
        <v>696.83426194519279</v>
      </c>
      <c r="H13" s="27">
        <f t="shared" si="5"/>
        <v>40012.661101940663</v>
      </c>
      <c r="I13" s="6">
        <f t="shared" si="0"/>
        <v>0.77845644167199735</v>
      </c>
      <c r="J13" s="6">
        <f t="shared" si="6"/>
        <v>0.22154355832800265</v>
      </c>
    </row>
    <row r="14" spans="1:65" x14ac:dyDescent="0.2">
      <c r="B14" s="4">
        <v>3</v>
      </c>
      <c r="C14" s="5">
        <v>46236</v>
      </c>
      <c r="D14" s="4">
        <f t="shared" si="1"/>
        <v>31</v>
      </c>
      <c r="E14" s="27">
        <f t="shared" si="2"/>
        <v>1070.0046361141465</v>
      </c>
      <c r="F14" s="27">
        <f t="shared" si="3"/>
        <v>366.78272676778943</v>
      </c>
      <c r="G14" s="27">
        <f t="shared" si="4"/>
        <v>703.22190934635705</v>
      </c>
      <c r="H14" s="27">
        <f t="shared" si="5"/>
        <v>39309.439192594305</v>
      </c>
      <c r="I14" s="6">
        <f t="shared" si="0"/>
        <v>0.76477508156798257</v>
      </c>
      <c r="J14" s="6">
        <f t="shared" si="6"/>
        <v>0.23522491843201743</v>
      </c>
      <c r="BM14" s="19"/>
    </row>
    <row r="15" spans="1:65" x14ac:dyDescent="0.2">
      <c r="B15" s="4">
        <v>4</v>
      </c>
      <c r="C15" s="5">
        <v>46267</v>
      </c>
      <c r="D15" s="4">
        <f t="shared" si="1"/>
        <v>31</v>
      </c>
      <c r="E15" s="27">
        <f t="shared" si="2"/>
        <v>1070.0046361141465</v>
      </c>
      <c r="F15" s="27">
        <f t="shared" si="3"/>
        <v>360.33652593211445</v>
      </c>
      <c r="G15" s="27">
        <f t="shared" si="4"/>
        <v>709.66811018203202</v>
      </c>
      <c r="H15" s="27">
        <f t="shared" si="5"/>
        <v>38599.771082412277</v>
      </c>
      <c r="I15" s="6">
        <f t="shared" si="0"/>
        <v>0.75096830899634781</v>
      </c>
      <c r="J15" s="6">
        <f t="shared" si="6"/>
        <v>0.24903169100365219</v>
      </c>
      <c r="BM15" s="17"/>
    </row>
    <row r="16" spans="1:65" x14ac:dyDescent="0.2">
      <c r="B16" s="4">
        <v>5</v>
      </c>
      <c r="C16" s="5">
        <v>46297</v>
      </c>
      <c r="D16" s="4">
        <f t="shared" si="1"/>
        <v>30</v>
      </c>
      <c r="E16" s="27">
        <f t="shared" si="2"/>
        <v>1070.0046361141465</v>
      </c>
      <c r="F16" s="27">
        <f t="shared" si="3"/>
        <v>353.83123492211257</v>
      </c>
      <c r="G16" s="27">
        <f t="shared" si="4"/>
        <v>716.17340119203391</v>
      </c>
      <c r="H16" s="27">
        <f t="shared" si="5"/>
        <v>37883.597681220243</v>
      </c>
      <c r="I16" s="6">
        <f t="shared" si="0"/>
        <v>0.73703497434280629</v>
      </c>
      <c r="J16" s="6">
        <f t="shared" si="6"/>
        <v>0.26296502565719371</v>
      </c>
      <c r="BM16" s="14"/>
    </row>
    <row r="17" spans="2:10" x14ac:dyDescent="0.2">
      <c r="B17" s="4">
        <v>6</v>
      </c>
      <c r="C17" s="5">
        <v>46328</v>
      </c>
      <c r="D17" s="4">
        <f t="shared" si="1"/>
        <v>31</v>
      </c>
      <c r="E17" s="27">
        <f t="shared" si="2"/>
        <v>1070.0046361141465</v>
      </c>
      <c r="F17" s="27">
        <f t="shared" si="3"/>
        <v>347.26631207785226</v>
      </c>
      <c r="G17" s="27">
        <f t="shared" si="4"/>
        <v>722.73832403629422</v>
      </c>
      <c r="H17" s="27">
        <f t="shared" si="5"/>
        <v>37160.859357183945</v>
      </c>
      <c r="I17" s="6">
        <f t="shared" si="0"/>
        <v>0.72297391745494055</v>
      </c>
      <c r="J17" s="6">
        <f t="shared" si="6"/>
        <v>0.27702608254505945</v>
      </c>
    </row>
    <row r="18" spans="2:10" x14ac:dyDescent="0.2">
      <c r="B18" s="4">
        <v>7</v>
      </c>
      <c r="C18" s="5">
        <v>46358</v>
      </c>
      <c r="D18" s="4">
        <f t="shared" si="1"/>
        <v>30</v>
      </c>
      <c r="E18" s="27">
        <f t="shared" si="2"/>
        <v>1070.0046361141465</v>
      </c>
      <c r="F18" s="27">
        <f t="shared" si="3"/>
        <v>340.64121077418616</v>
      </c>
      <c r="G18" s="27">
        <f t="shared" si="4"/>
        <v>729.36342533996026</v>
      </c>
      <c r="H18" s="27">
        <f t="shared" si="5"/>
        <v>36431.495931843987</v>
      </c>
      <c r="I18" s="6">
        <f t="shared" si="0"/>
        <v>0.70878396754560291</v>
      </c>
      <c r="J18" s="6">
        <f t="shared" si="6"/>
        <v>0.29121603245439709</v>
      </c>
    </row>
    <row r="19" spans="2:10" x14ac:dyDescent="0.2">
      <c r="B19" s="4">
        <v>8</v>
      </c>
      <c r="C19" s="5">
        <v>46389</v>
      </c>
      <c r="D19" s="4">
        <f t="shared" si="1"/>
        <v>31</v>
      </c>
      <c r="E19" s="27">
        <f t="shared" si="2"/>
        <v>1070.0046361141465</v>
      </c>
      <c r="F19" s="27">
        <f t="shared" si="3"/>
        <v>333.95537937523653</v>
      </c>
      <c r="G19" s="27">
        <f t="shared" si="4"/>
        <v>736.04925673890989</v>
      </c>
      <c r="H19" s="27">
        <f t="shared" si="5"/>
        <v>35695.446675105079</v>
      </c>
      <c r="I19" s="6">
        <f t="shared" si="0"/>
        <v>0.69446394309542958</v>
      </c>
      <c r="J19" s="6">
        <f t="shared" si="6"/>
        <v>0.30553605690457042</v>
      </c>
    </row>
    <row r="20" spans="2:10" x14ac:dyDescent="0.2">
      <c r="B20" s="4">
        <v>9</v>
      </c>
      <c r="C20" s="5">
        <v>46420</v>
      </c>
      <c r="D20" s="4">
        <f t="shared" si="1"/>
        <v>31</v>
      </c>
      <c r="E20" s="27">
        <f t="shared" si="2"/>
        <v>1070.0046361141465</v>
      </c>
      <c r="F20" s="27">
        <f t="shared" si="3"/>
        <v>327.20826118846321</v>
      </c>
      <c r="G20" s="27">
        <f t="shared" si="4"/>
        <v>742.79637492568327</v>
      </c>
      <c r="H20" s="27">
        <f t="shared" si="5"/>
        <v>34952.650300179397</v>
      </c>
      <c r="I20" s="6">
        <f t="shared" si="0"/>
        <v>0.68001265175446302</v>
      </c>
      <c r="J20" s="6">
        <f t="shared" si="6"/>
        <v>0.31998734824553698</v>
      </c>
    </row>
    <row r="21" spans="2:10" x14ac:dyDescent="0.2">
      <c r="B21" s="4">
        <v>10</v>
      </c>
      <c r="C21" s="5">
        <v>46448</v>
      </c>
      <c r="D21" s="4">
        <f t="shared" si="1"/>
        <v>28</v>
      </c>
      <c r="E21" s="27">
        <f t="shared" si="2"/>
        <v>1070.0046361141465</v>
      </c>
      <c r="F21" s="27">
        <f t="shared" si="3"/>
        <v>320.39929441831117</v>
      </c>
      <c r="G21" s="27">
        <f t="shared" si="4"/>
        <v>749.60534169583525</v>
      </c>
      <c r="H21" s="27">
        <f t="shared" si="5"/>
        <v>34203.044958483559</v>
      </c>
      <c r="I21" s="6">
        <f t="shared" si="0"/>
        <v>0.66542889024287077</v>
      </c>
      <c r="J21" s="6">
        <f t="shared" si="6"/>
        <v>0.33457110975712923</v>
      </c>
    </row>
    <row r="22" spans="2:10" x14ac:dyDescent="0.2">
      <c r="B22" s="4">
        <v>11</v>
      </c>
      <c r="C22" s="5">
        <v>46479</v>
      </c>
      <c r="D22" s="4">
        <f t="shared" si="1"/>
        <v>31</v>
      </c>
      <c r="E22" s="27">
        <f t="shared" si="2"/>
        <v>1070.0046361141465</v>
      </c>
      <c r="F22" s="27">
        <f t="shared" si="3"/>
        <v>313.52791211943264</v>
      </c>
      <c r="G22" s="27">
        <f t="shared" si="4"/>
        <v>756.47672399471389</v>
      </c>
      <c r="H22" s="27">
        <f t="shared" si="5"/>
        <v>33446.568234488848</v>
      </c>
      <c r="I22" s="6">
        <f t="shared" si="0"/>
        <v>0.65071144425075578</v>
      </c>
      <c r="J22" s="6">
        <f t="shared" si="6"/>
        <v>0.34928855574924422</v>
      </c>
    </row>
    <row r="23" spans="2:10" x14ac:dyDescent="0.2">
      <c r="B23" s="4">
        <v>12</v>
      </c>
      <c r="C23" s="5">
        <v>46509</v>
      </c>
      <c r="D23" s="4">
        <f t="shared" si="1"/>
        <v>30</v>
      </c>
      <c r="E23" s="27">
        <f t="shared" si="2"/>
        <v>1070.0046361141465</v>
      </c>
      <c r="F23" s="27">
        <f t="shared" si="3"/>
        <v>306.5935421494811</v>
      </c>
      <c r="G23" s="27">
        <f t="shared" si="4"/>
        <v>763.41109396466538</v>
      </c>
      <c r="H23" s="27">
        <f t="shared" si="5"/>
        <v>32683.157140524181</v>
      </c>
      <c r="I23" s="6">
        <f t="shared" si="0"/>
        <v>0.6358590883370463</v>
      </c>
      <c r="J23" s="6">
        <f t="shared" si="6"/>
        <v>0.3641409116629537</v>
      </c>
    </row>
    <row r="24" spans="2:10" x14ac:dyDescent="0.2">
      <c r="B24" s="4">
        <v>13</v>
      </c>
      <c r="C24" s="5">
        <v>46540</v>
      </c>
      <c r="D24" s="4">
        <f t="shared" si="1"/>
        <v>31</v>
      </c>
      <c r="E24" s="27">
        <f t="shared" si="2"/>
        <v>1070.0046361141465</v>
      </c>
      <c r="F24" s="27">
        <f t="shared" si="3"/>
        <v>299.59560712147169</v>
      </c>
      <c r="G24" s="27">
        <f t="shared" si="4"/>
        <v>770.40902899267485</v>
      </c>
      <c r="H24" s="27">
        <f t="shared" si="5"/>
        <v>31912.748111531506</v>
      </c>
      <c r="I24" s="6">
        <f t="shared" si="0"/>
        <v>0.62087058582746124</v>
      </c>
      <c r="J24" s="6">
        <f t="shared" si="6"/>
        <v>0.37912941417253876</v>
      </c>
    </row>
    <row r="25" spans="2:10" x14ac:dyDescent="0.2">
      <c r="B25" s="4">
        <v>14</v>
      </c>
      <c r="C25" s="5">
        <v>46570</v>
      </c>
      <c r="D25" s="4">
        <f t="shared" si="1"/>
        <v>30</v>
      </c>
      <c r="E25" s="27">
        <f t="shared" si="2"/>
        <v>1070.0046361141465</v>
      </c>
      <c r="F25" s="27">
        <f t="shared" si="3"/>
        <v>292.53352435570548</v>
      </c>
      <c r="G25" s="27">
        <f t="shared" si="4"/>
        <v>777.471111758441</v>
      </c>
      <c r="H25" s="27">
        <f t="shared" si="5"/>
        <v>31135.276999773065</v>
      </c>
      <c r="I25" s="6">
        <f t="shared" si="0"/>
        <v>0.60574468871153819</v>
      </c>
      <c r="J25" s="6">
        <f t="shared" si="6"/>
        <v>0.39425531128846181</v>
      </c>
    </row>
    <row r="26" spans="2:10" x14ac:dyDescent="0.2">
      <c r="B26" s="4">
        <v>15</v>
      </c>
      <c r="C26" s="5">
        <v>46601</v>
      </c>
      <c r="D26" s="4">
        <f t="shared" si="1"/>
        <v>31</v>
      </c>
      <c r="E26" s="27">
        <f t="shared" si="2"/>
        <v>1070.0046361141465</v>
      </c>
      <c r="F26" s="27">
        <f t="shared" si="3"/>
        <v>285.40670583125308</v>
      </c>
      <c r="G26" s="27">
        <f t="shared" si="4"/>
        <v>784.59793028289346</v>
      </c>
      <c r="H26" s="27">
        <f t="shared" si="5"/>
        <v>30350.679069490172</v>
      </c>
      <c r="I26" s="6">
        <f t="shared" si="0"/>
        <v>0.59048013753871931</v>
      </c>
      <c r="J26" s="6">
        <f t="shared" si="6"/>
        <v>0.40951986246128069</v>
      </c>
    </row>
    <row r="27" spans="2:10" x14ac:dyDescent="0.2">
      <c r="B27" s="4">
        <v>16</v>
      </c>
      <c r="C27" s="5">
        <v>46632</v>
      </c>
      <c r="D27" s="4">
        <f t="shared" si="1"/>
        <v>31</v>
      </c>
      <c r="E27" s="27">
        <f t="shared" si="2"/>
        <v>1070.0046361141465</v>
      </c>
      <c r="F27" s="27">
        <f t="shared" si="3"/>
        <v>278.21455813699328</v>
      </c>
      <c r="G27" s="27">
        <f t="shared" si="4"/>
        <v>791.79007797715326</v>
      </c>
      <c r="H27" s="27">
        <f t="shared" si="5"/>
        <v>29558.88899151302</v>
      </c>
      <c r="I27" s="6">
        <f t="shared" si="0"/>
        <v>0.57507566131348287</v>
      </c>
      <c r="J27" s="6">
        <f t="shared" si="6"/>
        <v>0.42492433868651713</v>
      </c>
    </row>
    <row r="28" spans="2:10" x14ac:dyDescent="0.2">
      <c r="B28" s="4">
        <v>17</v>
      </c>
      <c r="C28" s="5">
        <v>46662</v>
      </c>
      <c r="D28" s="4">
        <f t="shared" si="1"/>
        <v>30</v>
      </c>
      <c r="E28" s="27">
        <f t="shared" si="2"/>
        <v>1070.0046361141465</v>
      </c>
      <c r="F28" s="27">
        <f t="shared" si="3"/>
        <v>270.95648242220267</v>
      </c>
      <c r="G28" s="27">
        <f t="shared" si="4"/>
        <v>799.04815369194375</v>
      </c>
      <c r="H28" s="27">
        <f t="shared" si="5"/>
        <v>28759.840837821077</v>
      </c>
      <c r="I28" s="6">
        <f t="shared" si="0"/>
        <v>0.55952997738951515</v>
      </c>
      <c r="J28" s="6">
        <f t="shared" si="6"/>
        <v>0.44047002261048485</v>
      </c>
    </row>
    <row r="29" spans="2:10" x14ac:dyDescent="0.2">
      <c r="B29" s="4">
        <v>18</v>
      </c>
      <c r="C29" s="5">
        <v>46693</v>
      </c>
      <c r="D29" s="4">
        <f t="shared" si="1"/>
        <v>31</v>
      </c>
      <c r="E29" s="27">
        <f t="shared" si="2"/>
        <v>1070.0046361141465</v>
      </c>
      <c r="F29" s="27">
        <f t="shared" si="3"/>
        <v>263.63187434669322</v>
      </c>
      <c r="G29" s="27">
        <f t="shared" si="4"/>
        <v>806.37276176745331</v>
      </c>
      <c r="H29" s="27">
        <f t="shared" si="5"/>
        <v>27953.468076053625</v>
      </c>
      <c r="I29" s="6">
        <f t="shared" si="0"/>
        <v>0.543841791362911</v>
      </c>
      <c r="J29" s="6">
        <f t="shared" si="6"/>
        <v>0.456158208637089</v>
      </c>
    </row>
    <row r="30" spans="2:10" x14ac:dyDescent="0.2">
      <c r="B30" s="4">
        <v>19</v>
      </c>
      <c r="C30" s="5">
        <v>46723</v>
      </c>
      <c r="D30" s="4">
        <f t="shared" si="1"/>
        <v>30</v>
      </c>
      <c r="E30" s="27">
        <f t="shared" si="2"/>
        <v>1070.0046361141465</v>
      </c>
      <c r="F30" s="27">
        <f t="shared" si="3"/>
        <v>256.24012403049159</v>
      </c>
      <c r="G30" s="27">
        <f t="shared" si="4"/>
        <v>813.76451208365484</v>
      </c>
      <c r="H30" s="27">
        <f t="shared" si="5"/>
        <v>27139.703563969972</v>
      </c>
      <c r="I30" s="6">
        <f t="shared" si="0"/>
        <v>0.52800979696439632</v>
      </c>
      <c r="J30" s="6">
        <f t="shared" si="6"/>
        <v>0.47199020303560368</v>
      </c>
    </row>
    <row r="31" spans="2:10" x14ac:dyDescent="0.2">
      <c r="B31" s="4">
        <v>20</v>
      </c>
      <c r="C31" s="5">
        <v>46754</v>
      </c>
      <c r="D31" s="4">
        <f t="shared" si="1"/>
        <v>31</v>
      </c>
      <c r="E31" s="27">
        <f t="shared" si="2"/>
        <v>1070.0046361141465</v>
      </c>
      <c r="F31" s="27">
        <f t="shared" si="3"/>
        <v>248.78061600305807</v>
      </c>
      <c r="G31" s="27">
        <f t="shared" si="4"/>
        <v>821.22402011108841</v>
      </c>
      <c r="H31" s="27">
        <f t="shared" si="5"/>
        <v>26318.479543858884</v>
      </c>
      <c r="I31" s="6">
        <f t="shared" si="0"/>
        <v>0.5120326759505619</v>
      </c>
      <c r="J31" s="6">
        <f t="shared" si="6"/>
        <v>0.4879673240494381</v>
      </c>
    </row>
    <row r="32" spans="2:10" x14ac:dyDescent="0.2">
      <c r="B32" s="4">
        <v>21</v>
      </c>
      <c r="C32" s="5">
        <v>46785</v>
      </c>
      <c r="D32" s="4">
        <f t="shared" si="1"/>
        <v>31</v>
      </c>
      <c r="E32" s="27">
        <f t="shared" si="2"/>
        <v>1070.0046361141465</v>
      </c>
      <c r="F32" s="27">
        <f t="shared" si="3"/>
        <v>241.25272915203979</v>
      </c>
      <c r="G32" s="27">
        <f t="shared" si="4"/>
        <v>828.75190696210666</v>
      </c>
      <c r="H32" s="27">
        <f t="shared" si="5"/>
        <v>25489.72763689678</v>
      </c>
      <c r="I32" s="6">
        <f t="shared" si="0"/>
        <v>0.49590909799410077</v>
      </c>
      <c r="J32" s="6">
        <f t="shared" si="6"/>
        <v>0.50409090200589923</v>
      </c>
    </row>
    <row r="33" spans="2:11" x14ac:dyDescent="0.2">
      <c r="B33" s="4">
        <v>22</v>
      </c>
      <c r="C33" s="5">
        <v>46814</v>
      </c>
      <c r="D33" s="4">
        <f t="shared" si="1"/>
        <v>29</v>
      </c>
      <c r="E33" s="27">
        <f t="shared" si="2"/>
        <v>1070.0046361141465</v>
      </c>
      <c r="F33" s="27">
        <f t="shared" si="3"/>
        <v>233.65583667155383</v>
      </c>
      <c r="G33" s="27">
        <f t="shared" si="4"/>
        <v>836.34879944259262</v>
      </c>
      <c r="H33" s="27">
        <f t="shared" si="5"/>
        <v>24653.378837454187</v>
      </c>
      <c r="I33" s="6">
        <f t="shared" si="0"/>
        <v>0.47963772057303866</v>
      </c>
      <c r="J33" s="6">
        <f t="shared" si="6"/>
        <v>0.52036227942696134</v>
      </c>
    </row>
    <row r="34" spans="2:11" x14ac:dyDescent="0.2">
      <c r="B34" s="4">
        <v>23</v>
      </c>
      <c r="C34" s="5">
        <v>46845</v>
      </c>
      <c r="D34" s="4">
        <f t="shared" si="1"/>
        <v>31</v>
      </c>
      <c r="E34" s="27">
        <f t="shared" si="2"/>
        <v>1070.0046361141465</v>
      </c>
      <c r="F34" s="27">
        <f t="shared" si="3"/>
        <v>225.98930600999674</v>
      </c>
      <c r="G34" s="27">
        <f t="shared" si="4"/>
        <v>844.01533010414971</v>
      </c>
      <c r="H34" s="27">
        <f t="shared" si="5"/>
        <v>23809.363507350037</v>
      </c>
      <c r="I34" s="6">
        <f t="shared" si="0"/>
        <v>0.46321718885895014</v>
      </c>
      <c r="J34" s="6">
        <f t="shared" si="6"/>
        <v>0.53678281114104986</v>
      </c>
    </row>
    <row r="35" spans="2:11" x14ac:dyDescent="0.2">
      <c r="B35" s="4">
        <v>24</v>
      </c>
      <c r="C35" s="5">
        <v>46875</v>
      </c>
      <c r="D35" s="4">
        <f t="shared" si="1"/>
        <v>30</v>
      </c>
      <c r="E35" s="27">
        <f t="shared" si="2"/>
        <v>1070.0046361141465</v>
      </c>
      <c r="F35" s="27">
        <f t="shared" si="3"/>
        <v>218.25249881737534</v>
      </c>
      <c r="G35" s="27">
        <f t="shared" si="4"/>
        <v>851.75213729677114</v>
      </c>
      <c r="H35" s="27">
        <f t="shared" si="5"/>
        <v>22957.611370053266</v>
      </c>
      <c r="I35" s="6">
        <f t="shared" si="0"/>
        <v>0.44664613560414912</v>
      </c>
      <c r="J35" s="6">
        <f t="shared" si="6"/>
        <v>0.55335386439585088</v>
      </c>
    </row>
    <row r="36" spans="2:11" x14ac:dyDescent="0.2">
      <c r="B36" s="4">
        <v>25</v>
      </c>
      <c r="C36" s="5">
        <v>46906</v>
      </c>
      <c r="D36" s="4">
        <f t="shared" si="1"/>
        <v>31</v>
      </c>
      <c r="E36" s="27">
        <f t="shared" si="2"/>
        <v>1070.0046361141465</v>
      </c>
      <c r="F36" s="27">
        <f t="shared" si="3"/>
        <v>210.44477089215493</v>
      </c>
      <c r="G36" s="27">
        <f t="shared" si="4"/>
        <v>859.55986522199157</v>
      </c>
      <c r="H36" s="27">
        <f t="shared" si="5"/>
        <v>22098.051504831274</v>
      </c>
      <c r="I36" s="6">
        <f t="shared" si="0"/>
        <v>0.42992318102784577</v>
      </c>
      <c r="J36" s="6">
        <f t="shared" si="6"/>
        <v>0.57007681897215423</v>
      </c>
    </row>
    <row r="37" spans="2:11" x14ac:dyDescent="0.2">
      <c r="B37" s="4">
        <v>26</v>
      </c>
      <c r="C37" s="5">
        <v>46936</v>
      </c>
      <c r="D37" s="4">
        <f t="shared" si="1"/>
        <v>30</v>
      </c>
      <c r="E37" s="27">
        <f t="shared" si="2"/>
        <v>1070.0046361141465</v>
      </c>
      <c r="F37" s="27">
        <f t="shared" si="3"/>
        <v>202.56547212761998</v>
      </c>
      <c r="G37" s="27">
        <f t="shared" si="4"/>
        <v>867.43916398652652</v>
      </c>
      <c r="H37" s="27">
        <f t="shared" si="5"/>
        <v>21230.612340844746</v>
      </c>
      <c r="I37" s="6">
        <f t="shared" si="0"/>
        <v>0.41304693270125964</v>
      </c>
      <c r="J37" s="6">
        <f t="shared" si="6"/>
        <v>0.58695306729874042</v>
      </c>
    </row>
    <row r="38" spans="2:11" x14ac:dyDescent="0.2">
      <c r="B38" s="4">
        <v>27</v>
      </c>
      <c r="C38" s="5">
        <v>46967</v>
      </c>
      <c r="D38" s="4">
        <f t="shared" si="1"/>
        <v>31</v>
      </c>
      <c r="E38" s="27">
        <f t="shared" si="2"/>
        <v>1070.0046361141465</v>
      </c>
      <c r="F38" s="27">
        <f t="shared" si="3"/>
        <v>194.61394645774351</v>
      </c>
      <c r="G38" s="27">
        <f t="shared" si="4"/>
        <v>875.39068965640297</v>
      </c>
      <c r="H38" s="27">
        <f t="shared" si="5"/>
        <v>20355.221651188342</v>
      </c>
      <c r="I38" s="6">
        <f t="shared" si="0"/>
        <v>0.39601598543167982</v>
      </c>
      <c r="J38" s="6">
        <f t="shared" si="6"/>
        <v>0.60398401456832018</v>
      </c>
    </row>
    <row r="39" spans="2:11" x14ac:dyDescent="0.2">
      <c r="B39" s="4">
        <v>28</v>
      </c>
      <c r="C39" s="5">
        <v>46998</v>
      </c>
      <c r="D39" s="4">
        <f t="shared" si="1"/>
        <v>31</v>
      </c>
      <c r="E39" s="27">
        <f t="shared" si="2"/>
        <v>1070.0046361141465</v>
      </c>
      <c r="F39" s="27">
        <f t="shared" si="3"/>
        <v>186.5895318025598</v>
      </c>
      <c r="G39" s="27">
        <f t="shared" si="4"/>
        <v>883.41510431158667</v>
      </c>
      <c r="H39" s="27">
        <f t="shared" si="5"/>
        <v>19471.806546876756</v>
      </c>
      <c r="I39" s="6">
        <f t="shared" si="0"/>
        <v>0.37882892114546218</v>
      </c>
      <c r="J39" s="6">
        <f t="shared" si="6"/>
        <v>0.62117107885453782</v>
      </c>
    </row>
    <row r="40" spans="2:11" x14ac:dyDescent="0.2">
      <c r="B40" s="4">
        <v>29</v>
      </c>
      <c r="C40" s="5">
        <v>47028</v>
      </c>
      <c r="D40" s="4">
        <f t="shared" si="1"/>
        <v>30</v>
      </c>
      <c r="E40" s="27">
        <f t="shared" si="2"/>
        <v>1070.0046361141465</v>
      </c>
      <c r="F40" s="27">
        <f t="shared" si="3"/>
        <v>178.49156001303695</v>
      </c>
      <c r="G40" s="27">
        <f t="shared" si="4"/>
        <v>891.5130761011095</v>
      </c>
      <c r="H40" s="27">
        <f t="shared" si="5"/>
        <v>18580.293470775647</v>
      </c>
      <c r="I40" s="6">
        <f t="shared" si="0"/>
        <v>0.36148430876995424</v>
      </c>
      <c r="J40" s="6">
        <f t="shared" si="6"/>
        <v>0.63851569123004581</v>
      </c>
    </row>
    <row r="41" spans="2:11" x14ac:dyDescent="0.2">
      <c r="B41" s="4">
        <v>30</v>
      </c>
      <c r="C41" s="5">
        <v>47059</v>
      </c>
      <c r="D41" s="4">
        <f t="shared" si="1"/>
        <v>31</v>
      </c>
      <c r="E41" s="27">
        <f t="shared" si="2"/>
        <v>1070.0046361141465</v>
      </c>
      <c r="F41" s="27">
        <f t="shared" si="3"/>
        <v>170.31935681544343</v>
      </c>
      <c r="G41" s="27">
        <f t="shared" si="4"/>
        <v>899.68527929870311</v>
      </c>
      <c r="H41" s="27">
        <f t="shared" si="5"/>
        <v>17680.608191476942</v>
      </c>
      <c r="I41" s="6">
        <f t="shared" si="0"/>
        <v>0.3439807041143374</v>
      </c>
      <c r="J41" s="6">
        <f t="shared" si="6"/>
        <v>0.65601929588566255</v>
      </c>
    </row>
    <row r="42" spans="2:11" x14ac:dyDescent="0.2">
      <c r="B42" s="4">
        <v>31</v>
      </c>
      <c r="C42" s="5">
        <v>47089</v>
      </c>
      <c r="D42" s="4">
        <f t="shared" si="1"/>
        <v>30</v>
      </c>
      <c r="E42" s="27">
        <f t="shared" si="2"/>
        <v>1070.0046361141465</v>
      </c>
      <c r="F42" s="27">
        <f t="shared" si="3"/>
        <v>162.07224175520531</v>
      </c>
      <c r="G42" s="27">
        <f t="shared" si="4"/>
        <v>907.93239435894111</v>
      </c>
      <c r="H42" s="27">
        <f t="shared" si="5"/>
        <v>16772.675797118001</v>
      </c>
      <c r="I42" s="6">
        <f t="shared" si="0"/>
        <v>0.32631664974937746</v>
      </c>
      <c r="J42" s="6">
        <f t="shared" si="6"/>
        <v>0.67368335025062254</v>
      </c>
    </row>
    <row r="43" spans="2:11" x14ac:dyDescent="0.2">
      <c r="B43" s="4">
        <v>32</v>
      </c>
      <c r="C43" s="5">
        <v>47120</v>
      </c>
      <c r="D43" s="4">
        <f t="shared" si="1"/>
        <v>31</v>
      </c>
      <c r="E43" s="27">
        <f t="shared" si="2"/>
        <v>1070.0046361141465</v>
      </c>
      <c r="F43" s="27">
        <f t="shared" si="3"/>
        <v>153.74952814024834</v>
      </c>
      <c r="G43" s="27">
        <f t="shared" si="4"/>
        <v>916.25510797389813</v>
      </c>
      <c r="H43" s="27">
        <f t="shared" si="5"/>
        <v>15856.420689144103</v>
      </c>
      <c r="I43" s="6">
        <f t="shared" ref="I43:I74" si="7">(H43/$C$4)</f>
        <v>0.30849067488607201</v>
      </c>
      <c r="J43" s="6">
        <f t="shared" si="6"/>
        <v>0.69150932511392793</v>
      </c>
    </row>
    <row r="44" spans="2:11" x14ac:dyDescent="0.2">
      <c r="B44" s="4">
        <v>33</v>
      </c>
      <c r="C44" s="5">
        <v>47151</v>
      </c>
      <c r="D44" s="4">
        <f t="shared" si="1"/>
        <v>31</v>
      </c>
      <c r="E44" s="27">
        <f t="shared" si="2"/>
        <v>1070.0046361141465</v>
      </c>
      <c r="F44" s="27">
        <f t="shared" si="3"/>
        <v>145.35052298382092</v>
      </c>
      <c r="G44" s="27">
        <f t="shared" si="4"/>
        <v>924.65411313032553</v>
      </c>
      <c r="H44" s="27">
        <f t="shared" si="5"/>
        <v>14931.766576013777</v>
      </c>
      <c r="I44" s="6">
        <f t="shared" si="7"/>
        <v>0.2905012952531863</v>
      </c>
      <c r="J44" s="6">
        <f t="shared" si="6"/>
        <v>0.70949870474681376</v>
      </c>
    </row>
    <row r="45" spans="2:11" x14ac:dyDescent="0.2">
      <c r="B45" s="4">
        <v>34</v>
      </c>
      <c r="C45" s="5">
        <v>47179</v>
      </c>
      <c r="D45" s="4">
        <f t="shared" si="1"/>
        <v>28</v>
      </c>
      <c r="E45" s="27">
        <f t="shared" si="2"/>
        <v>1070.0046361141465</v>
      </c>
      <c r="F45" s="27">
        <f t="shared" si="3"/>
        <v>136.87452694679294</v>
      </c>
      <c r="G45" s="27">
        <f t="shared" si="4"/>
        <v>933.13010916735357</v>
      </c>
      <c r="H45" s="27">
        <f t="shared" si="5"/>
        <v>13998.636466846423</v>
      </c>
      <c r="I45" s="6">
        <f t="shared" si="7"/>
        <v>0.27234701297366581</v>
      </c>
      <c r="J45" s="6">
        <f t="shared" si="6"/>
        <v>0.72765298702633419</v>
      </c>
    </row>
    <row r="46" spans="2:11" x14ac:dyDescent="0.2">
      <c r="B46" s="4">
        <v>35</v>
      </c>
      <c r="C46" s="5">
        <v>47210</v>
      </c>
      <c r="D46" s="4">
        <f t="shared" si="1"/>
        <v>31</v>
      </c>
      <c r="E46" s="27">
        <f t="shared" si="2"/>
        <v>1070.0046361141465</v>
      </c>
      <c r="F46" s="27">
        <f t="shared" si="3"/>
        <v>128.32083427942555</v>
      </c>
      <c r="G46" s="27">
        <f t="shared" si="4"/>
        <v>941.68380183472095</v>
      </c>
      <c r="H46" s="27">
        <f t="shared" si="5"/>
        <v>13056.952665011702</v>
      </c>
      <c r="I46" s="6">
        <f t="shared" si="7"/>
        <v>0.25402631643991641</v>
      </c>
      <c r="J46" s="6">
        <f t="shared" si="6"/>
        <v>0.74597368356008364</v>
      </c>
    </row>
    <row r="47" spans="2:11" x14ac:dyDescent="0.2">
      <c r="B47" s="4">
        <v>36</v>
      </c>
      <c r="C47" s="5">
        <v>47240</v>
      </c>
      <c r="D47" s="4">
        <f t="shared" si="1"/>
        <v>30</v>
      </c>
      <c r="E47" s="27">
        <f t="shared" si="2"/>
        <v>1070.0046361141465</v>
      </c>
      <c r="F47" s="27">
        <f t="shared" si="3"/>
        <v>119.68873276260727</v>
      </c>
      <c r="G47" s="27">
        <f t="shared" si="4"/>
        <v>950.31590335153919</v>
      </c>
      <c r="H47" s="27">
        <f t="shared" si="5"/>
        <v>12106.636761660164</v>
      </c>
      <c r="I47" s="6">
        <f t="shared" si="7"/>
        <v>0.23553768018794094</v>
      </c>
      <c r="J47" s="6">
        <f t="shared" si="6"/>
        <v>0.76446231981205903</v>
      </c>
    </row>
    <row r="48" spans="2:11" x14ac:dyDescent="0.2">
      <c r="B48" s="4">
        <v>37</v>
      </c>
      <c r="C48" s="5">
        <v>47271</v>
      </c>
      <c r="D48" s="4">
        <f t="shared" si="1"/>
        <v>31</v>
      </c>
      <c r="E48" s="27">
        <f t="shared" si="2"/>
        <v>1070.0046361141465</v>
      </c>
      <c r="F48" s="27">
        <f t="shared" si="3"/>
        <v>110.97750364855149</v>
      </c>
      <c r="G48" s="27">
        <f t="shared" si="4"/>
        <v>959.02713246559495</v>
      </c>
      <c r="H48" s="27">
        <f t="shared" si="5"/>
        <v>11147.609629194569</v>
      </c>
      <c r="I48" s="6">
        <f t="shared" si="7"/>
        <v>0.21687956477032236</v>
      </c>
      <c r="J48" s="6">
        <f t="shared" si="6"/>
        <v>0.78312043522967767</v>
      </c>
      <c r="K48" s="11"/>
    </row>
    <row r="49" spans="2:10" x14ac:dyDescent="0.2">
      <c r="B49" s="4">
        <v>38</v>
      </c>
      <c r="C49" s="5">
        <v>47301</v>
      </c>
      <c r="D49" s="4">
        <f t="shared" si="1"/>
        <v>30</v>
      </c>
      <c r="E49" s="27">
        <f t="shared" si="2"/>
        <v>1070.0046361141465</v>
      </c>
      <c r="F49" s="27">
        <f t="shared" si="3"/>
        <v>102.18642160095021</v>
      </c>
      <c r="G49" s="27">
        <f t="shared" si="4"/>
        <v>967.81821451319627</v>
      </c>
      <c r="H49" s="27">
        <f t="shared" si="5"/>
        <v>10179.791414681373</v>
      </c>
      <c r="I49" s="6">
        <f t="shared" si="7"/>
        <v>0.19805041662804226</v>
      </c>
      <c r="J49" s="6">
        <f t="shared" si="6"/>
        <v>0.80194958337195776</v>
      </c>
    </row>
    <row r="50" spans="2:10" x14ac:dyDescent="0.2">
      <c r="B50" s="4">
        <v>39</v>
      </c>
      <c r="C50" s="5">
        <v>47332</v>
      </c>
      <c r="D50" s="4">
        <f t="shared" si="1"/>
        <v>31</v>
      </c>
      <c r="E50" s="27">
        <f t="shared" si="2"/>
        <v>1070.0046361141465</v>
      </c>
      <c r="F50" s="27">
        <f t="shared" si="3"/>
        <v>93.314754634579245</v>
      </c>
      <c r="G50" s="27">
        <f t="shared" si="4"/>
        <v>976.68988147956725</v>
      </c>
      <c r="H50" s="27">
        <f t="shared" si="5"/>
        <v>9203.1015332018051</v>
      </c>
      <c r="I50" s="6">
        <f t="shared" si="7"/>
        <v>0.17904866796112462</v>
      </c>
      <c r="J50" s="6">
        <f t="shared" si="6"/>
        <v>0.82095133203887538</v>
      </c>
    </row>
    <row r="51" spans="2:10" x14ac:dyDescent="0.2">
      <c r="B51" s="4">
        <v>40</v>
      </c>
      <c r="C51" s="5">
        <v>47363</v>
      </c>
      <c r="D51" s="4">
        <f t="shared" si="1"/>
        <v>31</v>
      </c>
      <c r="E51" s="27">
        <f t="shared" si="2"/>
        <v>1070.0046361141465</v>
      </c>
      <c r="F51" s="27">
        <f t="shared" si="3"/>
        <v>84.361764054349877</v>
      </c>
      <c r="G51" s="27">
        <f t="shared" si="4"/>
        <v>985.64287205979656</v>
      </c>
      <c r="H51" s="27">
        <f t="shared" si="5"/>
        <v>8217.4586611420091</v>
      </c>
      <c r="I51" s="6">
        <f t="shared" si="7"/>
        <v>0.15987273659809356</v>
      </c>
      <c r="J51" s="6">
        <f t="shared" si="6"/>
        <v>0.84012726340190647</v>
      </c>
    </row>
    <row r="52" spans="2:10" x14ac:dyDescent="0.2">
      <c r="B52" s="4">
        <v>41</v>
      </c>
      <c r="C52" s="5">
        <v>47393</v>
      </c>
      <c r="D52" s="4">
        <f t="shared" si="1"/>
        <v>30</v>
      </c>
      <c r="E52" s="27">
        <f t="shared" si="2"/>
        <v>1070.0046361141465</v>
      </c>
      <c r="F52" s="27">
        <f t="shared" si="3"/>
        <v>75.326704393801748</v>
      </c>
      <c r="G52" s="27">
        <f t="shared" si="4"/>
        <v>994.67793172034476</v>
      </c>
      <c r="H52" s="27">
        <f t="shared" si="5"/>
        <v>7222.7807294216645</v>
      </c>
      <c r="I52" s="6">
        <f t="shared" si="7"/>
        <v>0.14052102586423471</v>
      </c>
      <c r="J52" s="6">
        <f t="shared" si="6"/>
        <v>0.85947897413576535</v>
      </c>
    </row>
    <row r="53" spans="2:10" x14ac:dyDescent="0.2">
      <c r="B53" s="4">
        <v>42</v>
      </c>
      <c r="C53" s="5">
        <v>47424</v>
      </c>
      <c r="D53" s="4">
        <f t="shared" si="1"/>
        <v>31</v>
      </c>
      <c r="E53" s="27">
        <f t="shared" si="2"/>
        <v>1070.0046361141465</v>
      </c>
      <c r="F53" s="27">
        <f t="shared" si="3"/>
        <v>66.208823353031917</v>
      </c>
      <c r="G53" s="27">
        <f t="shared" si="4"/>
        <v>1003.7958127611146</v>
      </c>
      <c r="H53" s="27">
        <f t="shared" si="5"/>
        <v>6218.98491666055</v>
      </c>
      <c r="I53" s="6">
        <f t="shared" si="7"/>
        <v>0.12099192444864883</v>
      </c>
      <c r="J53" s="6">
        <f t="shared" si="6"/>
        <v>0.87900807555135119</v>
      </c>
    </row>
    <row r="54" spans="2:10" x14ac:dyDescent="0.2">
      <c r="B54" s="4">
        <v>43</v>
      </c>
      <c r="C54" s="5">
        <v>47454</v>
      </c>
      <c r="D54" s="4">
        <f t="shared" si="1"/>
        <v>30</v>
      </c>
      <c r="E54" s="27">
        <f t="shared" si="2"/>
        <v>1070.0046361141465</v>
      </c>
      <c r="F54" s="27">
        <f t="shared" si="3"/>
        <v>57.007361736055039</v>
      </c>
      <c r="G54" s="27">
        <f t="shared" si="4"/>
        <v>1012.9972743780914</v>
      </c>
      <c r="H54" s="27">
        <f t="shared" si="5"/>
        <v>5205.9876422824582</v>
      </c>
      <c r="I54" s="6">
        <f t="shared" si="7"/>
        <v>0.10128380627008673</v>
      </c>
      <c r="J54" s="6">
        <f t="shared" si="6"/>
        <v>0.89871619372991329</v>
      </c>
    </row>
    <row r="55" spans="2:10" x14ac:dyDescent="0.2">
      <c r="B55" s="4">
        <v>44</v>
      </c>
      <c r="C55" s="5">
        <v>47485</v>
      </c>
      <c r="D55" s="4">
        <f t="shared" si="1"/>
        <v>31</v>
      </c>
      <c r="E55" s="27">
        <f t="shared" si="2"/>
        <v>1070.0046361141465</v>
      </c>
      <c r="F55" s="27">
        <f t="shared" si="3"/>
        <v>47.721553387589204</v>
      </c>
      <c r="G55" s="27">
        <f t="shared" si="4"/>
        <v>1022.2830827265573</v>
      </c>
      <c r="H55" s="27">
        <f t="shared" si="5"/>
        <v>4183.7045595559011</v>
      </c>
      <c r="I55" s="6">
        <f t="shared" si="7"/>
        <v>8.13950303415545E-2</v>
      </c>
      <c r="J55" s="6">
        <f t="shared" si="6"/>
        <v>0.91860496965844551</v>
      </c>
    </row>
    <row r="56" spans="2:10" x14ac:dyDescent="0.2">
      <c r="B56" s="4">
        <v>45</v>
      </c>
      <c r="C56" s="5">
        <v>47516</v>
      </c>
      <c r="D56" s="4">
        <f t="shared" si="1"/>
        <v>31</v>
      </c>
      <c r="E56" s="27">
        <f t="shared" si="2"/>
        <v>1070.0046361141465</v>
      </c>
      <c r="F56" s="27">
        <f t="shared" si="3"/>
        <v>38.350625129262426</v>
      </c>
      <c r="G56" s="27">
        <f t="shared" si="4"/>
        <v>1031.6540109848841</v>
      </c>
      <c r="H56" s="27">
        <f t="shared" si="5"/>
        <v>3152.0505485710173</v>
      </c>
      <c r="I56" s="6">
        <f t="shared" si="7"/>
        <v>6.1323940633677382E-2</v>
      </c>
      <c r="J56" s="6">
        <f t="shared" si="6"/>
        <v>0.93867605936632259</v>
      </c>
    </row>
    <row r="57" spans="2:10" x14ac:dyDescent="0.2">
      <c r="B57" s="4">
        <v>46</v>
      </c>
      <c r="C57" s="5">
        <v>47544</v>
      </c>
      <c r="D57" s="4">
        <f t="shared" si="1"/>
        <v>28</v>
      </c>
      <c r="E57" s="27">
        <f t="shared" si="2"/>
        <v>1070.0046361141465</v>
      </c>
      <c r="F57" s="27">
        <f t="shared" si="3"/>
        <v>28.893796695234325</v>
      </c>
      <c r="G57" s="27">
        <f t="shared" si="4"/>
        <v>1041.1108394189121</v>
      </c>
      <c r="H57" s="27">
        <f t="shared" si="5"/>
        <v>2110.939709152105</v>
      </c>
      <c r="I57" s="6">
        <f t="shared" si="7"/>
        <v>4.1068865936811381E-2</v>
      </c>
      <c r="J57" s="6">
        <f t="shared" si="6"/>
        <v>0.95893113406318864</v>
      </c>
    </row>
    <row r="58" spans="2:10" x14ac:dyDescent="0.2">
      <c r="B58" s="4">
        <v>47</v>
      </c>
      <c r="C58" s="5">
        <v>47575</v>
      </c>
      <c r="D58" s="4">
        <f t="shared" si="1"/>
        <v>31</v>
      </c>
      <c r="E58" s="27">
        <f t="shared" si="2"/>
        <v>1070.0046361141465</v>
      </c>
      <c r="F58" s="27">
        <f t="shared" si="3"/>
        <v>19.350280667227629</v>
      </c>
      <c r="G58" s="27">
        <f t="shared" si="4"/>
        <v>1050.6543554469188</v>
      </c>
      <c r="H58" s="27">
        <f t="shared" si="5"/>
        <v>1060.2853537051863</v>
      </c>
      <c r="I58" s="6">
        <f t="shared" si="7"/>
        <v>2.0628119721890784E-2</v>
      </c>
      <c r="J58" s="6">
        <f t="shared" si="6"/>
        <v>0.97937188027810917</v>
      </c>
    </row>
    <row r="59" spans="2:10" x14ac:dyDescent="0.2">
      <c r="B59" s="4">
        <v>48</v>
      </c>
      <c r="C59" s="5">
        <v>47605</v>
      </c>
      <c r="D59" s="4">
        <f t="shared" si="1"/>
        <v>30</v>
      </c>
      <c r="E59" s="27">
        <f t="shared" si="2"/>
        <v>1070.0046361141465</v>
      </c>
      <c r="F59" s="27">
        <f t="shared" si="3"/>
        <v>9.7192824089642063</v>
      </c>
      <c r="G59" s="27">
        <f t="shared" si="4"/>
        <v>1060.2853537051822</v>
      </c>
      <c r="H59" s="27">
        <f t="shared" si="5"/>
        <v>4.0927261579781771E-12</v>
      </c>
      <c r="I59" s="6">
        <f t="shared" si="7"/>
        <v>7.9625022528758314E-17</v>
      </c>
      <c r="J59" s="6">
        <f t="shared" si="6"/>
        <v>0.99999999999999989</v>
      </c>
    </row>
  </sheetData>
  <hyperlinks>
    <hyperlink ref="A1" location="Scenarios!C8" display="Scenario 1" xr:uid="{B54141AA-17AF-1B43-BF73-F74D56B1FC4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FD0EB-1FFC-6F44-AFF8-F18D1A1EC54A}">
  <dimension ref="A1:I47"/>
  <sheetViews>
    <sheetView topLeftCell="A30" workbookViewId="0">
      <selection activeCell="E49" sqref="E49"/>
    </sheetView>
  </sheetViews>
  <sheetFormatPr baseColWidth="10" defaultColWidth="20.6640625" defaultRowHeight="16" x14ac:dyDescent="0.2"/>
  <sheetData>
    <row r="1" spans="1:9" x14ac:dyDescent="0.2">
      <c r="A1" s="30" t="s">
        <v>46</v>
      </c>
      <c r="B1" s="31" t="s">
        <v>45</v>
      </c>
    </row>
    <row r="2" spans="1:9" ht="51" x14ac:dyDescent="0.2">
      <c r="A2" s="50" t="s">
        <v>34</v>
      </c>
      <c r="B2" s="5">
        <v>46157</v>
      </c>
      <c r="C2" s="5"/>
      <c r="D2" s="50" t="s">
        <v>33</v>
      </c>
      <c r="E2" s="5">
        <v>46175</v>
      </c>
      <c r="F2" s="1"/>
      <c r="G2" s="1"/>
      <c r="H2" s="1"/>
    </row>
    <row r="3" spans="1:9" ht="17" x14ac:dyDescent="0.2">
      <c r="A3" s="50" t="s">
        <v>31</v>
      </c>
      <c r="B3" s="29">
        <v>0.1</v>
      </c>
      <c r="C3" s="4"/>
      <c r="D3" s="50" t="s">
        <v>30</v>
      </c>
      <c r="E3" s="7">
        <f>PMT(B3/12,B6,-E5)</f>
        <v>25813.749755069988</v>
      </c>
      <c r="F3" s="1"/>
      <c r="G3" s="1"/>
      <c r="H3" s="1"/>
    </row>
    <row r="4" spans="1:9" ht="85" x14ac:dyDescent="0.2">
      <c r="A4" s="50" t="s">
        <v>24</v>
      </c>
      <c r="B4" s="28">
        <v>1000000</v>
      </c>
      <c r="C4" s="4"/>
      <c r="D4" s="50" t="s">
        <v>29</v>
      </c>
      <c r="E4" s="4">
        <f>E2-B2</f>
        <v>18</v>
      </c>
      <c r="F4" s="1"/>
      <c r="G4" s="1"/>
      <c r="H4" s="1"/>
    </row>
    <row r="5" spans="1:9" ht="17" x14ac:dyDescent="0.2">
      <c r="A5" s="50" t="s">
        <v>21</v>
      </c>
      <c r="B5" s="27">
        <f>20%*B4</f>
        <v>200000</v>
      </c>
      <c r="C5" s="4"/>
      <c r="D5" s="50" t="s">
        <v>18</v>
      </c>
      <c r="E5" s="12">
        <f>B4-B5</f>
        <v>800000</v>
      </c>
      <c r="F5" s="1"/>
      <c r="G5" s="1"/>
      <c r="H5" s="1"/>
    </row>
    <row r="6" spans="1:9" ht="17" x14ac:dyDescent="0.2">
      <c r="A6" s="50" t="s">
        <v>15</v>
      </c>
      <c r="B6" s="4">
        <v>36</v>
      </c>
      <c r="C6" s="25" t="s">
        <v>14</v>
      </c>
      <c r="D6" s="53"/>
      <c r="E6" s="4"/>
      <c r="F6" s="1"/>
      <c r="G6" s="1"/>
      <c r="H6" s="1"/>
    </row>
    <row r="7" spans="1:9" x14ac:dyDescent="0.2">
      <c r="A7" s="1"/>
      <c r="B7" s="1"/>
      <c r="C7" s="1"/>
      <c r="D7" s="1"/>
      <c r="E7" s="1"/>
      <c r="F7" s="1"/>
      <c r="G7" s="1"/>
      <c r="H7" s="1"/>
    </row>
    <row r="8" spans="1:9" x14ac:dyDescent="0.2">
      <c r="A8" s="1"/>
      <c r="B8" s="1"/>
      <c r="C8" s="1"/>
      <c r="D8" s="1"/>
      <c r="E8" s="1"/>
      <c r="F8" s="1"/>
      <c r="G8" s="1"/>
      <c r="H8" s="1"/>
    </row>
    <row r="9" spans="1:9" x14ac:dyDescent="0.2">
      <c r="A9" s="1"/>
      <c r="B9" s="1"/>
      <c r="C9" s="1"/>
      <c r="D9" s="1"/>
      <c r="E9" s="1"/>
      <c r="F9" s="1"/>
      <c r="G9" s="1"/>
      <c r="H9" s="1"/>
    </row>
    <row r="10" spans="1:9" ht="34" x14ac:dyDescent="0.2">
      <c r="A10" s="50" t="s">
        <v>6</v>
      </c>
      <c r="B10" s="50" t="s">
        <v>5</v>
      </c>
      <c r="C10" s="50" t="s">
        <v>4</v>
      </c>
      <c r="D10" s="50" t="s">
        <v>10</v>
      </c>
      <c r="E10" s="50" t="s">
        <v>11</v>
      </c>
      <c r="F10" s="50" t="s">
        <v>1</v>
      </c>
      <c r="G10" s="50" t="s">
        <v>0</v>
      </c>
      <c r="H10" s="50" t="s">
        <v>13</v>
      </c>
      <c r="I10" s="50" t="s">
        <v>12</v>
      </c>
    </row>
    <row r="11" spans="1:9" x14ac:dyDescent="0.2">
      <c r="A11" s="4">
        <v>0</v>
      </c>
      <c r="B11" s="5">
        <f>$B$2</f>
        <v>46157</v>
      </c>
      <c r="C11" s="27"/>
      <c r="D11" s="27"/>
      <c r="E11" s="27"/>
      <c r="F11" s="27"/>
      <c r="G11" s="27">
        <f>$E$5</f>
        <v>800000</v>
      </c>
      <c r="H11" s="49">
        <f>G11/$B$4</f>
        <v>0.8</v>
      </c>
      <c r="I11" s="46">
        <f>1-H11</f>
        <v>0.19999999999999996</v>
      </c>
    </row>
    <row r="12" spans="1:9" x14ac:dyDescent="0.2">
      <c r="A12" s="4">
        <v>1</v>
      </c>
      <c r="B12" s="5">
        <f>E2</f>
        <v>46175</v>
      </c>
      <c r="C12" s="27">
        <f t="shared" ref="C12:C47" si="0">B12-B11</f>
        <v>18</v>
      </c>
      <c r="D12" s="27">
        <f t="shared" ref="D12:D46" si="1">$E$3</f>
        <v>25813.749755069988</v>
      </c>
      <c r="E12" s="27">
        <f>G11*B3/12*C12/30</f>
        <v>4000</v>
      </c>
      <c r="F12" s="27">
        <f t="shared" ref="F12:F47" si="2">D12-E12</f>
        <v>21813.749755069988</v>
      </c>
      <c r="G12" s="27">
        <f t="shared" ref="G12:G47" si="3">G11-F12</f>
        <v>778186.25024493004</v>
      </c>
      <c r="H12" s="49">
        <f t="shared" ref="H12:H47" si="4">G12/$B$4</f>
        <v>0.77818625024493004</v>
      </c>
      <c r="I12" s="46">
        <f t="shared" ref="I12:I47" si="5">1-H12</f>
        <v>0.22181374975506996</v>
      </c>
    </row>
    <row r="13" spans="1:9" x14ac:dyDescent="0.2">
      <c r="A13" s="4">
        <v>2</v>
      </c>
      <c r="B13" s="5">
        <v>46205</v>
      </c>
      <c r="C13" s="27">
        <f t="shared" si="0"/>
        <v>30</v>
      </c>
      <c r="D13" s="27">
        <f t="shared" si="1"/>
        <v>25813.749755069988</v>
      </c>
      <c r="E13" s="27">
        <f t="shared" ref="E13:E47" si="6">G12*$B$3/12</f>
        <v>6484.8854187077513</v>
      </c>
      <c r="F13" s="27">
        <f t="shared" si="2"/>
        <v>19328.864336362236</v>
      </c>
      <c r="G13" s="27">
        <f t="shared" si="3"/>
        <v>758857.38590856781</v>
      </c>
      <c r="H13" s="49">
        <f t="shared" si="4"/>
        <v>0.75885738590856777</v>
      </c>
      <c r="I13" s="46">
        <f t="shared" si="5"/>
        <v>0.24114261409143223</v>
      </c>
    </row>
    <row r="14" spans="1:9" x14ac:dyDescent="0.2">
      <c r="A14" s="4">
        <v>3</v>
      </c>
      <c r="B14" s="5">
        <v>46236</v>
      </c>
      <c r="C14" s="27">
        <f t="shared" si="0"/>
        <v>31</v>
      </c>
      <c r="D14" s="27">
        <f t="shared" si="1"/>
        <v>25813.749755069988</v>
      </c>
      <c r="E14" s="27">
        <f t="shared" si="6"/>
        <v>6323.8115492380648</v>
      </c>
      <c r="F14" s="27">
        <f t="shared" si="2"/>
        <v>19489.938205831924</v>
      </c>
      <c r="G14" s="27">
        <f t="shared" si="3"/>
        <v>739367.4477027359</v>
      </c>
      <c r="H14" s="49">
        <f t="shared" si="4"/>
        <v>0.73936744770273588</v>
      </c>
      <c r="I14" s="46">
        <f t="shared" si="5"/>
        <v>0.26063255229726412</v>
      </c>
    </row>
    <row r="15" spans="1:9" x14ac:dyDescent="0.2">
      <c r="A15" s="4">
        <v>4</v>
      </c>
      <c r="B15" s="5">
        <v>46267</v>
      </c>
      <c r="C15" s="27">
        <f t="shared" si="0"/>
        <v>31</v>
      </c>
      <c r="D15" s="27">
        <f t="shared" si="1"/>
        <v>25813.749755069988</v>
      </c>
      <c r="E15" s="27">
        <f t="shared" si="6"/>
        <v>6161.3953975227996</v>
      </c>
      <c r="F15" s="27">
        <f t="shared" si="2"/>
        <v>19652.354357547189</v>
      </c>
      <c r="G15" s="27">
        <f t="shared" si="3"/>
        <v>719715.09334518865</v>
      </c>
      <c r="H15" s="49">
        <f t="shared" si="4"/>
        <v>0.71971509334518868</v>
      </c>
      <c r="I15" s="46">
        <f t="shared" si="5"/>
        <v>0.28028490665481132</v>
      </c>
    </row>
    <row r="16" spans="1:9" x14ac:dyDescent="0.2">
      <c r="A16" s="4">
        <v>5</v>
      </c>
      <c r="B16" s="5">
        <v>46297</v>
      </c>
      <c r="C16" s="27">
        <f t="shared" si="0"/>
        <v>30</v>
      </c>
      <c r="D16" s="27">
        <f t="shared" si="1"/>
        <v>25813.749755069988</v>
      </c>
      <c r="E16" s="27">
        <f t="shared" si="6"/>
        <v>5997.6257778765721</v>
      </c>
      <c r="F16" s="27">
        <f t="shared" si="2"/>
        <v>19816.123977193416</v>
      </c>
      <c r="G16" s="27">
        <f t="shared" si="3"/>
        <v>699898.96936799528</v>
      </c>
      <c r="H16" s="49">
        <f t="shared" si="4"/>
        <v>0.69989896936799523</v>
      </c>
      <c r="I16" s="46">
        <f t="shared" si="5"/>
        <v>0.30010103063200477</v>
      </c>
    </row>
    <row r="17" spans="1:9" x14ac:dyDescent="0.2">
      <c r="A17" s="4">
        <v>6</v>
      </c>
      <c r="B17" s="5">
        <v>46328</v>
      </c>
      <c r="C17" s="27">
        <f t="shared" si="0"/>
        <v>31</v>
      </c>
      <c r="D17" s="27">
        <f t="shared" si="1"/>
        <v>25813.749755069988</v>
      </c>
      <c r="E17" s="27">
        <f t="shared" si="6"/>
        <v>5832.4914113999612</v>
      </c>
      <c r="F17" s="27">
        <f t="shared" si="2"/>
        <v>19981.258343670026</v>
      </c>
      <c r="G17" s="27">
        <f t="shared" si="3"/>
        <v>679917.71102432522</v>
      </c>
      <c r="H17" s="49">
        <f t="shared" si="4"/>
        <v>0.67991771102432519</v>
      </c>
      <c r="I17" s="46">
        <f t="shared" si="5"/>
        <v>0.32008228897567481</v>
      </c>
    </row>
    <row r="18" spans="1:9" x14ac:dyDescent="0.2">
      <c r="A18" s="4">
        <v>7</v>
      </c>
      <c r="B18" s="5">
        <v>46358</v>
      </c>
      <c r="C18" s="27">
        <f t="shared" si="0"/>
        <v>30</v>
      </c>
      <c r="D18" s="27">
        <f t="shared" si="1"/>
        <v>25813.749755069988</v>
      </c>
      <c r="E18" s="27">
        <f t="shared" si="6"/>
        <v>5665.9809252027108</v>
      </c>
      <c r="F18" s="27">
        <f t="shared" si="2"/>
        <v>20147.768829867277</v>
      </c>
      <c r="G18" s="27">
        <f t="shared" si="3"/>
        <v>659769.94219445798</v>
      </c>
      <c r="H18" s="49">
        <f t="shared" si="4"/>
        <v>0.65976994219445795</v>
      </c>
      <c r="I18" s="46">
        <f t="shared" si="5"/>
        <v>0.34023005780554205</v>
      </c>
    </row>
    <row r="19" spans="1:9" x14ac:dyDescent="0.2">
      <c r="A19" s="4">
        <v>8</v>
      </c>
      <c r="B19" s="5">
        <v>46389</v>
      </c>
      <c r="C19" s="27">
        <f t="shared" si="0"/>
        <v>31</v>
      </c>
      <c r="D19" s="27">
        <f t="shared" si="1"/>
        <v>25813.749755069988</v>
      </c>
      <c r="E19" s="27">
        <f t="shared" si="6"/>
        <v>5498.0828516204829</v>
      </c>
      <c r="F19" s="27">
        <f t="shared" si="2"/>
        <v>20315.666903449506</v>
      </c>
      <c r="G19" s="27">
        <f t="shared" si="3"/>
        <v>639454.27529100853</v>
      </c>
      <c r="H19" s="49">
        <f t="shared" si="4"/>
        <v>0.63945427529100851</v>
      </c>
      <c r="I19" s="46">
        <f t="shared" si="5"/>
        <v>0.36054572470899149</v>
      </c>
    </row>
    <row r="20" spans="1:9" x14ac:dyDescent="0.2">
      <c r="A20" s="4">
        <v>9</v>
      </c>
      <c r="B20" s="5">
        <v>46420</v>
      </c>
      <c r="C20" s="27">
        <f t="shared" si="0"/>
        <v>31</v>
      </c>
      <c r="D20" s="27">
        <f t="shared" si="1"/>
        <v>25813.749755069988</v>
      </c>
      <c r="E20" s="27">
        <f t="shared" si="6"/>
        <v>5328.7856274250707</v>
      </c>
      <c r="F20" s="27">
        <f t="shared" si="2"/>
        <v>20484.964127644918</v>
      </c>
      <c r="G20" s="27">
        <f t="shared" si="3"/>
        <v>618969.31116336363</v>
      </c>
      <c r="H20" s="49">
        <f t="shared" si="4"/>
        <v>0.61896931116336362</v>
      </c>
      <c r="I20" s="46">
        <f t="shared" si="5"/>
        <v>0.38103068883663638</v>
      </c>
    </row>
    <row r="21" spans="1:9" x14ac:dyDescent="0.2">
      <c r="A21" s="4">
        <v>10</v>
      </c>
      <c r="B21" s="5">
        <v>46448</v>
      </c>
      <c r="C21" s="27">
        <f t="shared" si="0"/>
        <v>28</v>
      </c>
      <c r="D21" s="27">
        <f t="shared" si="1"/>
        <v>25813.749755069988</v>
      </c>
      <c r="E21" s="27">
        <f t="shared" si="6"/>
        <v>5158.0775930280306</v>
      </c>
      <c r="F21" s="27">
        <f t="shared" si="2"/>
        <v>20655.672162041956</v>
      </c>
      <c r="G21" s="27">
        <f t="shared" si="3"/>
        <v>598313.63900132163</v>
      </c>
      <c r="H21" s="49">
        <f t="shared" si="4"/>
        <v>0.59831363900132162</v>
      </c>
      <c r="I21" s="46">
        <f t="shared" si="5"/>
        <v>0.40168636099867838</v>
      </c>
    </row>
    <row r="22" spans="1:9" x14ac:dyDescent="0.2">
      <c r="A22" s="4">
        <v>11</v>
      </c>
      <c r="B22" s="5">
        <v>46479</v>
      </c>
      <c r="C22" s="27">
        <f t="shared" si="0"/>
        <v>31</v>
      </c>
      <c r="D22" s="27">
        <f t="shared" si="1"/>
        <v>25813.749755069988</v>
      </c>
      <c r="E22" s="27">
        <f t="shared" si="6"/>
        <v>4985.9469916776807</v>
      </c>
      <c r="F22" s="27">
        <f t="shared" si="2"/>
        <v>20827.802763392308</v>
      </c>
      <c r="G22" s="27">
        <f t="shared" si="3"/>
        <v>577485.8362379293</v>
      </c>
      <c r="H22" s="49">
        <f t="shared" si="4"/>
        <v>0.57748583623792926</v>
      </c>
      <c r="I22" s="46">
        <f t="shared" si="5"/>
        <v>0.42251416376207074</v>
      </c>
    </row>
    <row r="23" spans="1:9" x14ac:dyDescent="0.2">
      <c r="A23" s="4">
        <v>12</v>
      </c>
      <c r="B23" s="5">
        <v>46509</v>
      </c>
      <c r="C23" s="27">
        <f t="shared" si="0"/>
        <v>30</v>
      </c>
      <c r="D23" s="27">
        <f t="shared" si="1"/>
        <v>25813.749755069988</v>
      </c>
      <c r="E23" s="27">
        <f t="shared" si="6"/>
        <v>4812.3819686494107</v>
      </c>
      <c r="F23" s="27">
        <f t="shared" si="2"/>
        <v>21001.367786420578</v>
      </c>
      <c r="G23" s="27">
        <f t="shared" si="3"/>
        <v>556484.46845150867</v>
      </c>
      <c r="H23" s="49">
        <f t="shared" si="4"/>
        <v>0.55648446845150867</v>
      </c>
      <c r="I23" s="46">
        <f t="shared" si="5"/>
        <v>0.44351553154849133</v>
      </c>
    </row>
    <row r="24" spans="1:9" x14ac:dyDescent="0.2">
      <c r="A24" s="4">
        <v>13</v>
      </c>
      <c r="B24" s="5">
        <v>46540</v>
      </c>
      <c r="C24" s="27">
        <f t="shared" si="0"/>
        <v>31</v>
      </c>
      <c r="D24" s="27">
        <f t="shared" si="1"/>
        <v>25813.749755069988</v>
      </c>
      <c r="E24" s="27">
        <f t="shared" si="6"/>
        <v>4637.3705704292397</v>
      </c>
      <c r="F24" s="27">
        <f t="shared" si="2"/>
        <v>21176.379184640748</v>
      </c>
      <c r="G24" s="27">
        <f t="shared" si="3"/>
        <v>535308.08926686796</v>
      </c>
      <c r="H24" s="49">
        <f t="shared" si="4"/>
        <v>0.5353080892668679</v>
      </c>
      <c r="I24" s="46">
        <f t="shared" si="5"/>
        <v>0.4646919107331321</v>
      </c>
    </row>
    <row r="25" spans="1:9" x14ac:dyDescent="0.2">
      <c r="A25" s="4">
        <v>14</v>
      </c>
      <c r="B25" s="5">
        <v>46570</v>
      </c>
      <c r="C25" s="27">
        <f t="shared" si="0"/>
        <v>30</v>
      </c>
      <c r="D25" s="27">
        <f t="shared" si="1"/>
        <v>25813.749755069988</v>
      </c>
      <c r="E25" s="27">
        <f t="shared" si="6"/>
        <v>4460.9007438905664</v>
      </c>
      <c r="F25" s="27">
        <f t="shared" si="2"/>
        <v>21352.849011179424</v>
      </c>
      <c r="G25" s="27">
        <f t="shared" si="3"/>
        <v>513955.24025568855</v>
      </c>
      <c r="H25" s="49">
        <f t="shared" si="4"/>
        <v>0.51395524025568851</v>
      </c>
      <c r="I25" s="46">
        <f t="shared" si="5"/>
        <v>0.48604475974431149</v>
      </c>
    </row>
    <row r="26" spans="1:9" x14ac:dyDescent="0.2">
      <c r="A26" s="4">
        <v>15</v>
      </c>
      <c r="B26" s="5">
        <v>46601</v>
      </c>
      <c r="C26" s="27">
        <f t="shared" si="0"/>
        <v>31</v>
      </c>
      <c r="D26" s="27">
        <f t="shared" si="1"/>
        <v>25813.749755069988</v>
      </c>
      <c r="E26" s="27">
        <f t="shared" si="6"/>
        <v>4282.9603354640712</v>
      </c>
      <c r="F26" s="27">
        <f t="shared" si="2"/>
        <v>21530.789419605917</v>
      </c>
      <c r="G26" s="27">
        <f t="shared" si="3"/>
        <v>492424.45083608263</v>
      </c>
      <c r="H26" s="49">
        <f t="shared" si="4"/>
        <v>0.49242445083608261</v>
      </c>
      <c r="I26" s="46">
        <f t="shared" si="5"/>
        <v>0.50757554916391734</v>
      </c>
    </row>
    <row r="27" spans="1:9" x14ac:dyDescent="0.2">
      <c r="A27" s="4">
        <v>16</v>
      </c>
      <c r="B27" s="5">
        <v>46632</v>
      </c>
      <c r="C27" s="27">
        <f t="shared" si="0"/>
        <v>31</v>
      </c>
      <c r="D27" s="27">
        <f t="shared" si="1"/>
        <v>25813.749755069988</v>
      </c>
      <c r="E27" s="27">
        <f t="shared" si="6"/>
        <v>4103.5370903006888</v>
      </c>
      <c r="F27" s="27">
        <f t="shared" si="2"/>
        <v>21710.2126647693</v>
      </c>
      <c r="G27" s="27">
        <f t="shared" si="3"/>
        <v>470714.23817131331</v>
      </c>
      <c r="H27" s="49">
        <f t="shared" si="4"/>
        <v>0.4707142381713133</v>
      </c>
      <c r="I27" s="46">
        <f t="shared" si="5"/>
        <v>0.5292857618286867</v>
      </c>
    </row>
    <row r="28" spans="1:9" x14ac:dyDescent="0.2">
      <c r="A28" s="4">
        <v>17</v>
      </c>
      <c r="B28" s="5">
        <v>46662</v>
      </c>
      <c r="C28" s="27">
        <f t="shared" si="0"/>
        <v>30</v>
      </c>
      <c r="D28" s="27">
        <f t="shared" si="1"/>
        <v>25813.749755069988</v>
      </c>
      <c r="E28" s="27">
        <f t="shared" si="6"/>
        <v>3922.618651427611</v>
      </c>
      <c r="F28" s="27">
        <f t="shared" si="2"/>
        <v>21891.131103642376</v>
      </c>
      <c r="G28" s="27">
        <f t="shared" si="3"/>
        <v>448823.10706767091</v>
      </c>
      <c r="H28" s="49">
        <f t="shared" si="4"/>
        <v>0.44882310706767092</v>
      </c>
      <c r="I28" s="46">
        <f t="shared" si="5"/>
        <v>0.55117689293232908</v>
      </c>
    </row>
    <row r="29" spans="1:9" x14ac:dyDescent="0.2">
      <c r="A29" s="4">
        <v>18</v>
      </c>
      <c r="B29" s="5">
        <v>46693</v>
      </c>
      <c r="C29" s="27">
        <f t="shared" si="0"/>
        <v>31</v>
      </c>
      <c r="D29" s="27">
        <f t="shared" si="1"/>
        <v>25813.749755069988</v>
      </c>
      <c r="E29" s="27">
        <f t="shared" si="6"/>
        <v>3740.1925588972576</v>
      </c>
      <c r="F29" s="27">
        <f t="shared" si="2"/>
        <v>22073.557196172729</v>
      </c>
      <c r="G29" s="27">
        <f t="shared" si="3"/>
        <v>426749.54987149819</v>
      </c>
      <c r="H29" s="49">
        <f t="shared" si="4"/>
        <v>0.42674954987149821</v>
      </c>
      <c r="I29" s="46">
        <f t="shared" si="5"/>
        <v>0.57325045012850184</v>
      </c>
    </row>
    <row r="30" spans="1:9" x14ac:dyDescent="0.2">
      <c r="A30" s="4">
        <v>19</v>
      </c>
      <c r="B30" s="5">
        <v>46723</v>
      </c>
      <c r="C30" s="27">
        <f t="shared" si="0"/>
        <v>30</v>
      </c>
      <c r="D30" s="27">
        <f t="shared" si="1"/>
        <v>25813.749755069988</v>
      </c>
      <c r="E30" s="27">
        <f t="shared" si="6"/>
        <v>3556.246248929152</v>
      </c>
      <c r="F30" s="27">
        <f t="shared" si="2"/>
        <v>22257.503506140834</v>
      </c>
      <c r="G30" s="27">
        <f t="shared" si="3"/>
        <v>404492.04636535735</v>
      </c>
      <c r="H30" s="49">
        <f t="shared" si="4"/>
        <v>0.40449204636535735</v>
      </c>
      <c r="I30" s="46">
        <f t="shared" si="5"/>
        <v>0.5955079536346426</v>
      </c>
    </row>
    <row r="31" spans="1:9" x14ac:dyDescent="0.2">
      <c r="A31" s="4">
        <v>20</v>
      </c>
      <c r="B31" s="5">
        <v>46754</v>
      </c>
      <c r="C31" s="27">
        <f t="shared" si="0"/>
        <v>31</v>
      </c>
      <c r="D31" s="27">
        <f t="shared" si="1"/>
        <v>25813.749755069988</v>
      </c>
      <c r="E31" s="27">
        <f t="shared" si="6"/>
        <v>3370.7670530446449</v>
      </c>
      <c r="F31" s="27">
        <f t="shared" si="2"/>
        <v>22442.982702025343</v>
      </c>
      <c r="G31" s="27">
        <f t="shared" si="3"/>
        <v>382049.06366333202</v>
      </c>
      <c r="H31" s="49">
        <f t="shared" si="4"/>
        <v>0.38204906366333202</v>
      </c>
      <c r="I31" s="46">
        <f t="shared" si="5"/>
        <v>0.61795093633666798</v>
      </c>
    </row>
    <row r="32" spans="1:9" x14ac:dyDescent="0.2">
      <c r="A32" s="4">
        <v>21</v>
      </c>
      <c r="B32" s="5">
        <v>46785</v>
      </c>
      <c r="C32" s="27">
        <f t="shared" si="0"/>
        <v>31</v>
      </c>
      <c r="D32" s="27">
        <f t="shared" si="1"/>
        <v>25813.749755069988</v>
      </c>
      <c r="E32" s="27">
        <f t="shared" si="6"/>
        <v>3183.7421971944336</v>
      </c>
      <c r="F32" s="27">
        <f t="shared" si="2"/>
        <v>22630.007557875553</v>
      </c>
      <c r="G32" s="27">
        <f t="shared" si="3"/>
        <v>359419.05610545649</v>
      </c>
      <c r="H32" s="49">
        <f t="shared" si="4"/>
        <v>0.35941905610545649</v>
      </c>
      <c r="I32" s="46">
        <f t="shared" si="5"/>
        <v>0.64058094389454356</v>
      </c>
    </row>
    <row r="33" spans="1:9" x14ac:dyDescent="0.2">
      <c r="A33" s="4">
        <v>22</v>
      </c>
      <c r="B33" s="5">
        <v>46814</v>
      </c>
      <c r="C33" s="27">
        <f t="shared" si="0"/>
        <v>29</v>
      </c>
      <c r="D33" s="27">
        <f t="shared" si="1"/>
        <v>25813.749755069988</v>
      </c>
      <c r="E33" s="27">
        <f t="shared" si="6"/>
        <v>2995.158800878804</v>
      </c>
      <c r="F33" s="27">
        <f t="shared" si="2"/>
        <v>22818.590954191182</v>
      </c>
      <c r="G33" s="27">
        <f t="shared" si="3"/>
        <v>336600.46515126532</v>
      </c>
      <c r="H33" s="49">
        <f t="shared" si="4"/>
        <v>0.33660046515126535</v>
      </c>
      <c r="I33" s="46">
        <f t="shared" si="5"/>
        <v>0.66339953484873471</v>
      </c>
    </row>
    <row r="34" spans="1:9" x14ac:dyDescent="0.2">
      <c r="A34" s="4">
        <v>23</v>
      </c>
      <c r="B34" s="5">
        <v>46845</v>
      </c>
      <c r="C34" s="27">
        <f t="shared" si="0"/>
        <v>31</v>
      </c>
      <c r="D34" s="27">
        <f t="shared" si="1"/>
        <v>25813.749755069988</v>
      </c>
      <c r="E34" s="27">
        <f t="shared" si="6"/>
        <v>2805.0038762605441</v>
      </c>
      <c r="F34" s="27">
        <f t="shared" si="2"/>
        <v>23008.745878809445</v>
      </c>
      <c r="G34" s="27">
        <f t="shared" si="3"/>
        <v>313591.7192724559</v>
      </c>
      <c r="H34" s="49">
        <f t="shared" si="4"/>
        <v>0.31359171927245588</v>
      </c>
      <c r="I34" s="46">
        <f t="shared" si="5"/>
        <v>0.68640828072754412</v>
      </c>
    </row>
    <row r="35" spans="1:9" x14ac:dyDescent="0.2">
      <c r="A35" s="4">
        <v>24</v>
      </c>
      <c r="B35" s="5">
        <v>46875</v>
      </c>
      <c r="C35" s="27">
        <f t="shared" si="0"/>
        <v>30</v>
      </c>
      <c r="D35" s="27">
        <f t="shared" si="1"/>
        <v>25813.749755069988</v>
      </c>
      <c r="E35" s="27">
        <f t="shared" si="6"/>
        <v>2613.2643272704659</v>
      </c>
      <c r="F35" s="27">
        <f t="shared" si="2"/>
        <v>23200.485427799522</v>
      </c>
      <c r="G35" s="27">
        <f t="shared" si="3"/>
        <v>290391.23384465638</v>
      </c>
      <c r="H35" s="49">
        <f t="shared" si="4"/>
        <v>0.29039123384465637</v>
      </c>
      <c r="I35" s="46">
        <f t="shared" si="5"/>
        <v>0.70960876615534363</v>
      </c>
    </row>
    <row r="36" spans="1:9" x14ac:dyDescent="0.2">
      <c r="A36" s="4">
        <v>25</v>
      </c>
      <c r="B36" s="5">
        <v>46906</v>
      </c>
      <c r="C36" s="27">
        <f t="shared" si="0"/>
        <v>31</v>
      </c>
      <c r="D36" s="27">
        <f t="shared" si="1"/>
        <v>25813.749755069988</v>
      </c>
      <c r="E36" s="27">
        <f t="shared" si="6"/>
        <v>2419.9269487054698</v>
      </c>
      <c r="F36" s="27">
        <f t="shared" si="2"/>
        <v>23393.822806364518</v>
      </c>
      <c r="G36" s="27">
        <f t="shared" si="3"/>
        <v>266997.41103829187</v>
      </c>
      <c r="H36" s="49">
        <f t="shared" si="4"/>
        <v>0.26699741103829189</v>
      </c>
      <c r="I36" s="46">
        <f t="shared" si="5"/>
        <v>0.73300258896170811</v>
      </c>
    </row>
    <row r="37" spans="1:9" x14ac:dyDescent="0.2">
      <c r="A37" s="4">
        <v>26</v>
      </c>
      <c r="B37" s="5">
        <v>46936</v>
      </c>
      <c r="C37" s="27">
        <f t="shared" si="0"/>
        <v>30</v>
      </c>
      <c r="D37" s="27">
        <f t="shared" si="1"/>
        <v>25813.749755069988</v>
      </c>
      <c r="E37" s="27">
        <f t="shared" si="6"/>
        <v>2224.9784253190992</v>
      </c>
      <c r="F37" s="27">
        <f t="shared" si="2"/>
        <v>23588.771329750889</v>
      </c>
      <c r="G37" s="27">
        <f t="shared" si="3"/>
        <v>243408.63970854098</v>
      </c>
      <c r="H37" s="49">
        <f t="shared" si="4"/>
        <v>0.24340863970854099</v>
      </c>
      <c r="I37" s="46">
        <f t="shared" si="5"/>
        <v>0.75659136029145901</v>
      </c>
    </row>
    <row r="38" spans="1:9" x14ac:dyDescent="0.2">
      <c r="A38" s="4">
        <v>27</v>
      </c>
      <c r="B38" s="5">
        <v>46967</v>
      </c>
      <c r="C38" s="27">
        <f t="shared" si="0"/>
        <v>31</v>
      </c>
      <c r="D38" s="27">
        <f t="shared" si="1"/>
        <v>25813.749755069988</v>
      </c>
      <c r="E38" s="27">
        <f t="shared" si="6"/>
        <v>2028.4053309045084</v>
      </c>
      <c r="F38" s="27">
        <f t="shared" si="2"/>
        <v>23785.34442416548</v>
      </c>
      <c r="G38" s="27">
        <f t="shared" si="3"/>
        <v>219623.29528437549</v>
      </c>
      <c r="H38" s="49">
        <f t="shared" si="4"/>
        <v>0.21962329528437549</v>
      </c>
      <c r="I38" s="46">
        <f t="shared" si="5"/>
        <v>0.78037670471562448</v>
      </c>
    </row>
    <row r="39" spans="1:9" x14ac:dyDescent="0.2">
      <c r="A39" s="4">
        <v>28</v>
      </c>
      <c r="B39" s="5">
        <v>46998</v>
      </c>
      <c r="C39" s="27">
        <f t="shared" si="0"/>
        <v>31</v>
      </c>
      <c r="D39" s="27">
        <f t="shared" si="1"/>
        <v>25813.749755069988</v>
      </c>
      <c r="E39" s="27">
        <f t="shared" si="6"/>
        <v>1830.1941273697958</v>
      </c>
      <c r="F39" s="27">
        <f t="shared" si="2"/>
        <v>23983.555627700192</v>
      </c>
      <c r="G39" s="27">
        <f t="shared" si="3"/>
        <v>195639.73965667529</v>
      </c>
      <c r="H39" s="49">
        <f t="shared" si="4"/>
        <v>0.19563973965667528</v>
      </c>
      <c r="I39" s="46">
        <f t="shared" si="5"/>
        <v>0.80436026034332475</v>
      </c>
    </row>
    <row r="40" spans="1:9" x14ac:dyDescent="0.2">
      <c r="A40" s="4">
        <v>29</v>
      </c>
      <c r="B40" s="5">
        <v>47028</v>
      </c>
      <c r="C40" s="27">
        <f t="shared" si="0"/>
        <v>30</v>
      </c>
      <c r="D40" s="27">
        <f t="shared" si="1"/>
        <v>25813.749755069988</v>
      </c>
      <c r="E40" s="27">
        <f t="shared" si="6"/>
        <v>1630.3311638056275</v>
      </c>
      <c r="F40" s="27">
        <f t="shared" si="2"/>
        <v>24183.418591264359</v>
      </c>
      <c r="G40" s="27">
        <f t="shared" si="3"/>
        <v>171456.32106541091</v>
      </c>
      <c r="H40" s="49">
        <f t="shared" si="4"/>
        <v>0.17145632106541092</v>
      </c>
      <c r="I40" s="46">
        <f t="shared" si="5"/>
        <v>0.82854367893458902</v>
      </c>
    </row>
    <row r="41" spans="1:9" x14ac:dyDescent="0.2">
      <c r="A41" s="4">
        <v>30</v>
      </c>
      <c r="B41" s="5">
        <v>47059</v>
      </c>
      <c r="C41" s="27">
        <f t="shared" si="0"/>
        <v>31</v>
      </c>
      <c r="D41" s="27">
        <f t="shared" si="1"/>
        <v>25813.749755069988</v>
      </c>
      <c r="E41" s="27">
        <f t="shared" si="6"/>
        <v>1428.802675545091</v>
      </c>
      <c r="F41" s="27">
        <f t="shared" si="2"/>
        <v>24384.947079524896</v>
      </c>
      <c r="G41" s="27">
        <f t="shared" si="3"/>
        <v>147071.37398588602</v>
      </c>
      <c r="H41" s="49">
        <f t="shared" si="4"/>
        <v>0.14707137398588602</v>
      </c>
      <c r="I41" s="46">
        <f t="shared" si="5"/>
        <v>0.85292862601411401</v>
      </c>
    </row>
    <row r="42" spans="1:9" x14ac:dyDescent="0.2">
      <c r="A42" s="4">
        <v>31</v>
      </c>
      <c r="B42" s="5">
        <v>47089</v>
      </c>
      <c r="C42" s="27">
        <f t="shared" si="0"/>
        <v>30</v>
      </c>
      <c r="D42" s="27">
        <f t="shared" si="1"/>
        <v>25813.749755069988</v>
      </c>
      <c r="E42" s="27">
        <f t="shared" si="6"/>
        <v>1225.5947832157169</v>
      </c>
      <c r="F42" s="27">
        <f t="shared" si="2"/>
        <v>24588.15497185427</v>
      </c>
      <c r="G42" s="27">
        <f t="shared" si="3"/>
        <v>122483.21901403175</v>
      </c>
      <c r="H42" s="49">
        <f t="shared" si="4"/>
        <v>0.12248321901403175</v>
      </c>
      <c r="I42" s="46">
        <f t="shared" si="5"/>
        <v>0.8775167809859683</v>
      </c>
    </row>
    <row r="43" spans="1:9" x14ac:dyDescent="0.2">
      <c r="A43" s="4">
        <v>32</v>
      </c>
      <c r="B43" s="5">
        <v>47120</v>
      </c>
      <c r="C43" s="27">
        <f t="shared" si="0"/>
        <v>31</v>
      </c>
      <c r="D43" s="27">
        <f t="shared" si="1"/>
        <v>25813.749755069988</v>
      </c>
      <c r="E43" s="27">
        <f t="shared" si="6"/>
        <v>1020.693491783598</v>
      </c>
      <c r="F43" s="27">
        <f t="shared" si="2"/>
        <v>24793.056263286391</v>
      </c>
      <c r="G43" s="27">
        <f t="shared" si="3"/>
        <v>97690.162750745367</v>
      </c>
      <c r="H43" s="49">
        <f t="shared" si="4"/>
        <v>9.7690162750745366E-2</v>
      </c>
      <c r="I43" s="46">
        <f t="shared" si="5"/>
        <v>0.90230983724925462</v>
      </c>
    </row>
    <row r="44" spans="1:9" x14ac:dyDescent="0.2">
      <c r="A44" s="4">
        <v>33</v>
      </c>
      <c r="B44" s="5">
        <v>47151</v>
      </c>
      <c r="C44" s="27">
        <f t="shared" si="0"/>
        <v>31</v>
      </c>
      <c r="D44" s="27">
        <f t="shared" si="1"/>
        <v>25813.749755069988</v>
      </c>
      <c r="E44" s="27">
        <f t="shared" si="6"/>
        <v>814.08468958954472</v>
      </c>
      <c r="F44" s="27">
        <f t="shared" si="2"/>
        <v>24999.665065480443</v>
      </c>
      <c r="G44" s="27">
        <f t="shared" si="3"/>
        <v>72690.497685264927</v>
      </c>
      <c r="H44" s="49">
        <f t="shared" si="4"/>
        <v>7.2690497685264921E-2</v>
      </c>
      <c r="I44" s="46">
        <f t="shared" si="5"/>
        <v>0.92730950231473508</v>
      </c>
    </row>
    <row r="45" spans="1:9" x14ac:dyDescent="0.2">
      <c r="A45" s="4">
        <v>34</v>
      </c>
      <c r="B45" s="5">
        <v>47179</v>
      </c>
      <c r="C45" s="27">
        <f t="shared" si="0"/>
        <v>28</v>
      </c>
      <c r="D45" s="27">
        <f t="shared" si="1"/>
        <v>25813.749755069988</v>
      </c>
      <c r="E45" s="27">
        <f t="shared" si="6"/>
        <v>605.75414737720769</v>
      </c>
      <c r="F45" s="27">
        <f t="shared" si="2"/>
        <v>25207.995607692781</v>
      </c>
      <c r="G45" s="27">
        <f t="shared" si="3"/>
        <v>47482.50207757215</v>
      </c>
      <c r="H45" s="49">
        <f t="shared" si="4"/>
        <v>4.7482502077572153E-2</v>
      </c>
      <c r="I45" s="46">
        <f t="shared" si="5"/>
        <v>0.95251749792242779</v>
      </c>
    </row>
    <row r="46" spans="1:9" x14ac:dyDescent="0.2">
      <c r="A46" s="4">
        <v>35</v>
      </c>
      <c r="B46" s="5">
        <v>47210</v>
      </c>
      <c r="C46" s="27">
        <f t="shared" si="0"/>
        <v>31</v>
      </c>
      <c r="D46" s="27">
        <f t="shared" si="1"/>
        <v>25813.749755069988</v>
      </c>
      <c r="E46" s="27">
        <f t="shared" si="6"/>
        <v>395.6875173131013</v>
      </c>
      <c r="F46" s="27">
        <f t="shared" si="2"/>
        <v>25418.062237756887</v>
      </c>
      <c r="G46" s="27">
        <f t="shared" si="3"/>
        <v>22064.439839815263</v>
      </c>
      <c r="H46" s="49">
        <f t="shared" si="4"/>
        <v>2.2064439839815264E-2</v>
      </c>
      <c r="I46" s="46">
        <f t="shared" si="5"/>
        <v>0.97793556016018468</v>
      </c>
    </row>
    <row r="47" spans="1:9" x14ac:dyDescent="0.2">
      <c r="A47" s="9">
        <v>36</v>
      </c>
      <c r="B47" s="5">
        <v>47240</v>
      </c>
      <c r="C47" s="58">
        <f t="shared" si="0"/>
        <v>30</v>
      </c>
      <c r="D47" s="58">
        <f>$E$3-3565</f>
        <v>22248.749755069988</v>
      </c>
      <c r="E47" s="58">
        <f t="shared" si="6"/>
        <v>183.87033199846053</v>
      </c>
      <c r="F47" s="58">
        <f t="shared" si="2"/>
        <v>22064.879423071528</v>
      </c>
      <c r="G47" s="58">
        <f t="shared" si="3"/>
        <v>-0.43958325626590522</v>
      </c>
      <c r="H47" s="49">
        <f t="shared" si="4"/>
        <v>-4.3958325626590522E-7</v>
      </c>
      <c r="I47" s="46">
        <f t="shared" si="5"/>
        <v>1.0000004395832562</v>
      </c>
    </row>
  </sheetData>
  <hyperlinks>
    <hyperlink ref="A1" location="Scenarios!C9" display="Scenario 2" xr:uid="{7BAE2A7E-9FEB-714E-880D-EF3BF0F021C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D5065-01B4-7647-9B0D-32B26453DD08}">
  <dimension ref="A1:I48"/>
  <sheetViews>
    <sheetView topLeftCell="A23" zoomScale="125" workbookViewId="0">
      <selection activeCell="A50" sqref="A50"/>
    </sheetView>
  </sheetViews>
  <sheetFormatPr baseColWidth="10" defaultColWidth="22.1640625" defaultRowHeight="16" x14ac:dyDescent="0.2"/>
  <sheetData>
    <row r="1" spans="1:9" x14ac:dyDescent="0.2">
      <c r="A1" s="30" t="s">
        <v>44</v>
      </c>
      <c r="B1" s="31" t="s">
        <v>43</v>
      </c>
    </row>
    <row r="2" spans="1:9" ht="17" x14ac:dyDescent="0.2">
      <c r="A2" s="50" t="s">
        <v>34</v>
      </c>
      <c r="B2" s="5">
        <v>46162</v>
      </c>
      <c r="C2" s="5"/>
      <c r="D2" s="50" t="s">
        <v>33</v>
      </c>
      <c r="E2" s="5">
        <v>46205</v>
      </c>
      <c r="F2" s="1"/>
      <c r="G2" s="1"/>
    </row>
    <row r="3" spans="1:9" ht="17" x14ac:dyDescent="0.2">
      <c r="A3" s="50" t="s">
        <v>31</v>
      </c>
      <c r="B3" s="29">
        <v>0.1</v>
      </c>
      <c r="C3" s="4"/>
      <c r="D3" s="50" t="s">
        <v>30</v>
      </c>
      <c r="E3" s="27">
        <f>PMT(B3/12,B6,-E5)</f>
        <v>1326.8267374105974</v>
      </c>
      <c r="F3" s="1"/>
      <c r="G3" s="1"/>
    </row>
    <row r="4" spans="1:9" ht="85" x14ac:dyDescent="0.2">
      <c r="A4" s="50" t="s">
        <v>24</v>
      </c>
      <c r="B4" s="28">
        <f>'Disbursement and due date same'!C4</f>
        <v>51400</v>
      </c>
      <c r="C4" s="4"/>
      <c r="D4" s="50" t="s">
        <v>28</v>
      </c>
      <c r="E4" s="4">
        <f>E2-B2</f>
        <v>43</v>
      </c>
      <c r="F4" s="1"/>
      <c r="G4" s="1"/>
    </row>
    <row r="5" spans="1:9" ht="17" x14ac:dyDescent="0.2">
      <c r="A5" s="50" t="s">
        <v>21</v>
      </c>
      <c r="B5" s="27">
        <f>20%*B4</f>
        <v>10280</v>
      </c>
      <c r="C5" s="4"/>
      <c r="D5" s="50" t="s">
        <v>18</v>
      </c>
      <c r="E5" s="12">
        <f>B4-B5</f>
        <v>41120</v>
      </c>
      <c r="F5" s="1"/>
      <c r="G5" s="1"/>
    </row>
    <row r="6" spans="1:9" ht="102" x14ac:dyDescent="0.2">
      <c r="A6" s="50" t="s">
        <v>15</v>
      </c>
      <c r="B6" s="4">
        <v>36</v>
      </c>
      <c r="C6" s="25" t="s">
        <v>14</v>
      </c>
      <c r="D6" s="50" t="s">
        <v>20</v>
      </c>
      <c r="E6" s="11" t="s">
        <v>76</v>
      </c>
      <c r="F6" s="1"/>
      <c r="G6" s="1"/>
    </row>
    <row r="7" spans="1:9" x14ac:dyDescent="0.2">
      <c r="A7" s="1"/>
      <c r="B7" s="1"/>
      <c r="C7" s="1"/>
      <c r="D7" s="1"/>
      <c r="E7" s="1"/>
      <c r="F7" s="1"/>
      <c r="G7" s="1"/>
    </row>
    <row r="8" spans="1:9" x14ac:dyDescent="0.2">
      <c r="A8" s="1"/>
      <c r="B8" s="1"/>
      <c r="C8" s="1"/>
      <c r="D8" s="1"/>
      <c r="E8" s="1"/>
      <c r="F8" s="1"/>
      <c r="G8" s="1"/>
    </row>
    <row r="9" spans="1:9" x14ac:dyDescent="0.2">
      <c r="A9" s="54" t="s">
        <v>75</v>
      </c>
      <c r="B9" s="1"/>
      <c r="C9" s="1"/>
      <c r="D9" s="1"/>
      <c r="E9" s="1"/>
      <c r="F9" s="1"/>
      <c r="G9" s="1"/>
    </row>
    <row r="10" spans="1:9" ht="17" x14ac:dyDescent="0.2">
      <c r="A10" s="50" t="s">
        <v>6</v>
      </c>
      <c r="B10" s="50" t="s">
        <v>5</v>
      </c>
      <c r="C10" s="50" t="s">
        <v>4</v>
      </c>
      <c r="D10" s="50" t="s">
        <v>10</v>
      </c>
      <c r="E10" s="50" t="s">
        <v>8</v>
      </c>
      <c r="F10" s="50" t="s">
        <v>1</v>
      </c>
      <c r="G10" s="50" t="s">
        <v>0</v>
      </c>
      <c r="H10" s="50" t="s">
        <v>70</v>
      </c>
      <c r="I10" s="50" t="s">
        <v>71</v>
      </c>
    </row>
    <row r="11" spans="1:9" x14ac:dyDescent="0.2">
      <c r="A11" s="4">
        <v>0</v>
      </c>
      <c r="B11" s="5">
        <f>B2</f>
        <v>46162</v>
      </c>
      <c r="C11" s="4"/>
      <c r="D11" s="4"/>
      <c r="E11" s="4"/>
      <c r="F11" s="4"/>
      <c r="G11" s="12">
        <f>$E$5</f>
        <v>41120</v>
      </c>
      <c r="H11" s="45">
        <f>G11/$B$4</f>
        <v>0.8</v>
      </c>
      <c r="I11" s="46">
        <f>1-H11</f>
        <v>0.19999999999999996</v>
      </c>
    </row>
    <row r="12" spans="1:9" x14ac:dyDescent="0.2">
      <c r="A12" s="4">
        <v>1</v>
      </c>
      <c r="B12" s="5">
        <v>46175</v>
      </c>
      <c r="C12" s="4">
        <f t="shared" ref="C12:C48" si="0">B12-B11</f>
        <v>13</v>
      </c>
      <c r="D12" s="12">
        <v>0</v>
      </c>
      <c r="E12" s="12">
        <f>G11*B3/12*C12/30</f>
        <v>148.48888888888891</v>
      </c>
      <c r="F12" s="12">
        <v>0</v>
      </c>
      <c r="G12" s="12">
        <f>$E$5</f>
        <v>41120</v>
      </c>
      <c r="H12" s="45">
        <f t="shared" ref="H12:H48" si="1">G12/$B$4</f>
        <v>0.8</v>
      </c>
      <c r="I12" s="46">
        <f t="shared" ref="I12:I48" si="2">1-H12</f>
        <v>0.19999999999999996</v>
      </c>
    </row>
    <row r="13" spans="1:9" x14ac:dyDescent="0.2">
      <c r="A13" s="4">
        <v>1</v>
      </c>
      <c r="B13" s="5">
        <f>E2</f>
        <v>46205</v>
      </c>
      <c r="C13" s="4">
        <f t="shared" si="0"/>
        <v>30</v>
      </c>
      <c r="D13" s="12">
        <f t="shared" ref="D13:D47" si="3">$E$3</f>
        <v>1326.8267374105974</v>
      </c>
      <c r="E13" s="12">
        <f>G12*$B$3/12+E12</f>
        <v>491.15555555555557</v>
      </c>
      <c r="F13" s="12">
        <f>D13-E13-E12</f>
        <v>687.18229296615289</v>
      </c>
      <c r="G13" s="12">
        <f t="shared" ref="G13:G48" si="4">G12-F13</f>
        <v>40432.81770703385</v>
      </c>
      <c r="H13" s="45">
        <f t="shared" si="1"/>
        <v>0.78663069468937452</v>
      </c>
      <c r="I13" s="46">
        <f t="shared" si="2"/>
        <v>0.21336930531062548</v>
      </c>
    </row>
    <row r="14" spans="1:9" x14ac:dyDescent="0.2">
      <c r="A14" s="4">
        <v>2</v>
      </c>
      <c r="B14" s="5">
        <v>46236</v>
      </c>
      <c r="C14" s="4">
        <f t="shared" si="0"/>
        <v>31</v>
      </c>
      <c r="D14" s="12">
        <f t="shared" si="3"/>
        <v>1326.8267374105974</v>
      </c>
      <c r="E14" s="12">
        <f t="shared" ref="E14:E48" si="5">G13*$B$3/12</f>
        <v>336.94014755861542</v>
      </c>
      <c r="F14" s="12">
        <f t="shared" ref="F14:F48" si="6">D14-E14</f>
        <v>989.88658985198197</v>
      </c>
      <c r="G14" s="12">
        <f t="shared" si="4"/>
        <v>39442.93111718187</v>
      </c>
      <c r="H14" s="45">
        <f t="shared" si="1"/>
        <v>0.76737220072338264</v>
      </c>
      <c r="I14" s="46">
        <f t="shared" si="2"/>
        <v>0.23262779927661736</v>
      </c>
    </row>
    <row r="15" spans="1:9" x14ac:dyDescent="0.2">
      <c r="A15" s="4">
        <v>3</v>
      </c>
      <c r="B15" s="5">
        <v>46267</v>
      </c>
      <c r="C15" s="4">
        <f t="shared" si="0"/>
        <v>31</v>
      </c>
      <c r="D15" s="12">
        <f t="shared" si="3"/>
        <v>1326.8267374105974</v>
      </c>
      <c r="E15" s="12">
        <f t="shared" si="5"/>
        <v>328.69109264318223</v>
      </c>
      <c r="F15" s="12">
        <f t="shared" si="6"/>
        <v>998.13564476741522</v>
      </c>
      <c r="G15" s="12">
        <f t="shared" si="4"/>
        <v>38444.795472414451</v>
      </c>
      <c r="H15" s="45">
        <f t="shared" si="1"/>
        <v>0.74795321930767411</v>
      </c>
      <c r="I15" s="46">
        <f t="shared" si="2"/>
        <v>0.25204678069232589</v>
      </c>
    </row>
    <row r="16" spans="1:9" x14ac:dyDescent="0.2">
      <c r="A16" s="4">
        <v>4</v>
      </c>
      <c r="B16" s="5">
        <v>46297</v>
      </c>
      <c r="C16" s="4">
        <f t="shared" si="0"/>
        <v>30</v>
      </c>
      <c r="D16" s="12">
        <f t="shared" si="3"/>
        <v>1326.8267374105974</v>
      </c>
      <c r="E16" s="12">
        <f t="shared" si="5"/>
        <v>320.37329560345376</v>
      </c>
      <c r="F16" s="12">
        <f t="shared" si="6"/>
        <v>1006.4534418071437</v>
      </c>
      <c r="G16" s="12">
        <f t="shared" si="4"/>
        <v>37438.342030607309</v>
      </c>
      <c r="H16" s="45">
        <f t="shared" si="1"/>
        <v>0.72837241304683487</v>
      </c>
      <c r="I16" s="46">
        <f t="shared" si="2"/>
        <v>0.27162758695316513</v>
      </c>
    </row>
    <row r="17" spans="1:9" x14ac:dyDescent="0.2">
      <c r="A17" s="4">
        <v>5</v>
      </c>
      <c r="B17" s="5">
        <v>46328</v>
      </c>
      <c r="C17" s="4">
        <f t="shared" si="0"/>
        <v>31</v>
      </c>
      <c r="D17" s="12">
        <f t="shared" si="3"/>
        <v>1326.8267374105974</v>
      </c>
      <c r="E17" s="12">
        <f t="shared" si="5"/>
        <v>311.98618358839423</v>
      </c>
      <c r="F17" s="12">
        <f t="shared" si="6"/>
        <v>1014.8405538222032</v>
      </c>
      <c r="G17" s="12">
        <f t="shared" si="4"/>
        <v>36423.50147678511</v>
      </c>
      <c r="H17" s="45">
        <f t="shared" si="1"/>
        <v>0.70862843340048853</v>
      </c>
      <c r="I17" s="46">
        <f t="shared" si="2"/>
        <v>0.29137156659951147</v>
      </c>
    </row>
    <row r="18" spans="1:9" x14ac:dyDescent="0.2">
      <c r="A18" s="4">
        <v>6</v>
      </c>
      <c r="B18" s="5">
        <v>46358</v>
      </c>
      <c r="C18" s="4">
        <f t="shared" si="0"/>
        <v>30</v>
      </c>
      <c r="D18" s="12">
        <f t="shared" si="3"/>
        <v>1326.8267374105974</v>
      </c>
      <c r="E18" s="12">
        <f t="shared" si="5"/>
        <v>303.5291789732093</v>
      </c>
      <c r="F18" s="12">
        <f t="shared" si="6"/>
        <v>1023.297558437388</v>
      </c>
      <c r="G18" s="12">
        <f t="shared" si="4"/>
        <v>35400.203918347725</v>
      </c>
      <c r="H18" s="45">
        <f t="shared" si="1"/>
        <v>0.68871992059042264</v>
      </c>
      <c r="I18" s="46">
        <f t="shared" si="2"/>
        <v>0.31128007940957736</v>
      </c>
    </row>
    <row r="19" spans="1:9" x14ac:dyDescent="0.2">
      <c r="A19" s="4">
        <v>7</v>
      </c>
      <c r="B19" s="5">
        <v>46389</v>
      </c>
      <c r="C19" s="4">
        <f t="shared" si="0"/>
        <v>31</v>
      </c>
      <c r="D19" s="12">
        <f t="shared" si="3"/>
        <v>1326.8267374105974</v>
      </c>
      <c r="E19" s="12">
        <f t="shared" si="5"/>
        <v>295.00169931956435</v>
      </c>
      <c r="F19" s="12">
        <f t="shared" si="6"/>
        <v>1031.8250380910331</v>
      </c>
      <c r="G19" s="12">
        <f t="shared" si="4"/>
        <v>34368.378880256692</v>
      </c>
      <c r="H19" s="45">
        <f t="shared" si="1"/>
        <v>0.66864550350693952</v>
      </c>
      <c r="I19" s="46">
        <f t="shared" si="2"/>
        <v>0.33135449649306048</v>
      </c>
    </row>
    <row r="20" spans="1:9" x14ac:dyDescent="0.2">
      <c r="A20" s="4">
        <v>8</v>
      </c>
      <c r="B20" s="5">
        <v>46420</v>
      </c>
      <c r="C20" s="4">
        <f t="shared" si="0"/>
        <v>31</v>
      </c>
      <c r="D20" s="12">
        <f t="shared" si="3"/>
        <v>1326.8267374105974</v>
      </c>
      <c r="E20" s="12">
        <f t="shared" si="5"/>
        <v>286.40315733547249</v>
      </c>
      <c r="F20" s="12">
        <f t="shared" si="6"/>
        <v>1040.4235800751248</v>
      </c>
      <c r="G20" s="12">
        <f t="shared" si="4"/>
        <v>33327.955300181566</v>
      </c>
      <c r="H20" s="45">
        <f t="shared" si="1"/>
        <v>0.6484037996144274</v>
      </c>
      <c r="I20" s="46">
        <f t="shared" si="2"/>
        <v>0.3515962003855726</v>
      </c>
    </row>
    <row r="21" spans="1:9" x14ac:dyDescent="0.2">
      <c r="A21" s="4">
        <v>9</v>
      </c>
      <c r="B21" s="5">
        <v>46448</v>
      </c>
      <c r="C21" s="4">
        <f t="shared" si="0"/>
        <v>28</v>
      </c>
      <c r="D21" s="12">
        <f t="shared" si="3"/>
        <v>1326.8267374105974</v>
      </c>
      <c r="E21" s="12">
        <f t="shared" si="5"/>
        <v>277.73296083484638</v>
      </c>
      <c r="F21" s="12">
        <f t="shared" si="6"/>
        <v>1049.093776575751</v>
      </c>
      <c r="G21" s="12">
        <f t="shared" si="4"/>
        <v>32278.861523605814</v>
      </c>
      <c r="H21" s="45">
        <f t="shared" si="1"/>
        <v>0.62799341485614424</v>
      </c>
      <c r="I21" s="46">
        <f t="shared" si="2"/>
        <v>0.37200658514385576</v>
      </c>
    </row>
    <row r="22" spans="1:9" x14ac:dyDescent="0.2">
      <c r="A22" s="4">
        <v>10</v>
      </c>
      <c r="B22" s="5">
        <v>46479</v>
      </c>
      <c r="C22" s="4">
        <f t="shared" si="0"/>
        <v>31</v>
      </c>
      <c r="D22" s="12">
        <f t="shared" si="3"/>
        <v>1326.8267374105974</v>
      </c>
      <c r="E22" s="12">
        <f t="shared" si="5"/>
        <v>268.99051269671514</v>
      </c>
      <c r="F22" s="12">
        <f t="shared" si="6"/>
        <v>1057.8362247138823</v>
      </c>
      <c r="G22" s="12">
        <f t="shared" si="4"/>
        <v>31221.025298891931</v>
      </c>
      <c r="H22" s="45">
        <f t="shared" si="1"/>
        <v>0.60741294355820874</v>
      </c>
      <c r="I22" s="46">
        <f t="shared" si="2"/>
        <v>0.39258705644179126</v>
      </c>
    </row>
    <row r="23" spans="1:9" x14ac:dyDescent="0.2">
      <c r="A23" s="4">
        <v>11</v>
      </c>
      <c r="B23" s="5">
        <v>46509</v>
      </c>
      <c r="C23" s="4">
        <f t="shared" si="0"/>
        <v>30</v>
      </c>
      <c r="D23" s="12">
        <f t="shared" si="3"/>
        <v>1326.8267374105974</v>
      </c>
      <c r="E23" s="12">
        <f t="shared" si="5"/>
        <v>260.17521082409945</v>
      </c>
      <c r="F23" s="12">
        <f t="shared" si="6"/>
        <v>1066.651526586498</v>
      </c>
      <c r="G23" s="12">
        <f t="shared" si="4"/>
        <v>30154.373772305433</v>
      </c>
      <c r="H23" s="45">
        <f t="shared" si="1"/>
        <v>0.58666096833279047</v>
      </c>
      <c r="I23" s="46">
        <f t="shared" si="2"/>
        <v>0.41333903166720953</v>
      </c>
    </row>
    <row r="24" spans="1:9" x14ac:dyDescent="0.2">
      <c r="A24" s="4">
        <v>12</v>
      </c>
      <c r="B24" s="5">
        <v>46540</v>
      </c>
      <c r="C24" s="4">
        <f t="shared" si="0"/>
        <v>31</v>
      </c>
      <c r="D24" s="12">
        <f t="shared" si="3"/>
        <v>1326.8267374105974</v>
      </c>
      <c r="E24" s="12">
        <f t="shared" si="5"/>
        <v>251.28644810254528</v>
      </c>
      <c r="F24" s="12">
        <f t="shared" si="6"/>
        <v>1075.540289308052</v>
      </c>
      <c r="G24" s="12">
        <f t="shared" si="4"/>
        <v>29078.833482997379</v>
      </c>
      <c r="H24" s="45">
        <f t="shared" si="1"/>
        <v>0.56573605998049381</v>
      </c>
      <c r="I24" s="46">
        <f t="shared" si="2"/>
        <v>0.43426394001950619</v>
      </c>
    </row>
    <row r="25" spans="1:9" x14ac:dyDescent="0.2">
      <c r="A25" s="4">
        <v>13</v>
      </c>
      <c r="B25" s="5">
        <v>46570</v>
      </c>
      <c r="C25" s="4">
        <f t="shared" si="0"/>
        <v>30</v>
      </c>
      <c r="D25" s="12">
        <f t="shared" si="3"/>
        <v>1326.8267374105974</v>
      </c>
      <c r="E25" s="12">
        <f t="shared" si="5"/>
        <v>242.32361235831149</v>
      </c>
      <c r="F25" s="12">
        <f t="shared" si="6"/>
        <v>1084.5031250522859</v>
      </c>
      <c r="G25" s="12">
        <f t="shared" si="4"/>
        <v>27994.330357945095</v>
      </c>
      <c r="H25" s="45">
        <f t="shared" si="1"/>
        <v>0.54463677739192795</v>
      </c>
      <c r="I25" s="46">
        <f t="shared" si="2"/>
        <v>0.45536322260807205</v>
      </c>
    </row>
    <row r="26" spans="1:9" x14ac:dyDescent="0.2">
      <c r="A26" s="4">
        <v>14</v>
      </c>
      <c r="B26" s="5">
        <v>46601</v>
      </c>
      <c r="C26" s="4">
        <f t="shared" si="0"/>
        <v>31</v>
      </c>
      <c r="D26" s="12">
        <f t="shared" si="3"/>
        <v>1326.8267374105974</v>
      </c>
      <c r="E26" s="12">
        <f t="shared" si="5"/>
        <v>233.28608631620912</v>
      </c>
      <c r="F26" s="12">
        <f t="shared" si="6"/>
        <v>1093.5406510943883</v>
      </c>
      <c r="G26" s="12">
        <f t="shared" si="4"/>
        <v>26900.789706850708</v>
      </c>
      <c r="H26" s="45">
        <f t="shared" si="1"/>
        <v>0.52336166744845736</v>
      </c>
      <c r="I26" s="46">
        <f t="shared" si="2"/>
        <v>0.47663833255154264</v>
      </c>
    </row>
    <row r="27" spans="1:9" x14ac:dyDescent="0.2">
      <c r="A27" s="4">
        <v>15</v>
      </c>
      <c r="B27" s="5">
        <v>46632</v>
      </c>
      <c r="C27" s="4">
        <f t="shared" si="0"/>
        <v>31</v>
      </c>
      <c r="D27" s="12">
        <f t="shared" si="3"/>
        <v>1326.8267374105974</v>
      </c>
      <c r="E27" s="12">
        <f t="shared" si="5"/>
        <v>224.17324755708924</v>
      </c>
      <c r="F27" s="12">
        <f t="shared" si="6"/>
        <v>1102.6534898535081</v>
      </c>
      <c r="G27" s="12">
        <f t="shared" si="4"/>
        <v>25798.136216997202</v>
      </c>
      <c r="H27" s="45">
        <f t="shared" si="1"/>
        <v>0.50190926492212451</v>
      </c>
      <c r="I27" s="46">
        <f t="shared" si="2"/>
        <v>0.49809073507787549</v>
      </c>
    </row>
    <row r="28" spans="1:9" x14ac:dyDescent="0.2">
      <c r="A28" s="4">
        <v>16</v>
      </c>
      <c r="B28" s="5">
        <v>46662</v>
      </c>
      <c r="C28" s="4">
        <f t="shared" si="0"/>
        <v>30</v>
      </c>
      <c r="D28" s="12">
        <f t="shared" si="3"/>
        <v>1326.8267374105974</v>
      </c>
      <c r="E28" s="12">
        <f t="shared" si="5"/>
        <v>214.98446847497669</v>
      </c>
      <c r="F28" s="12">
        <f t="shared" si="6"/>
        <v>1111.8422689356207</v>
      </c>
      <c r="G28" s="12">
        <f t="shared" si="4"/>
        <v>24686.293948061582</v>
      </c>
      <c r="H28" s="45">
        <f t="shared" si="1"/>
        <v>0.48027809237473895</v>
      </c>
      <c r="I28" s="46">
        <f t="shared" si="2"/>
        <v>0.51972190762526105</v>
      </c>
    </row>
    <row r="29" spans="1:9" x14ac:dyDescent="0.2">
      <c r="A29" s="4">
        <v>17</v>
      </c>
      <c r="B29" s="5">
        <v>46693</v>
      </c>
      <c r="C29" s="4">
        <f t="shared" si="0"/>
        <v>31</v>
      </c>
      <c r="D29" s="12">
        <f t="shared" si="3"/>
        <v>1326.8267374105974</v>
      </c>
      <c r="E29" s="12">
        <f t="shared" si="5"/>
        <v>205.71911623384653</v>
      </c>
      <c r="F29" s="12">
        <f t="shared" si="6"/>
        <v>1121.1076211767509</v>
      </c>
      <c r="G29" s="12">
        <f t="shared" si="4"/>
        <v>23565.186326884832</v>
      </c>
      <c r="H29" s="45">
        <f t="shared" si="1"/>
        <v>0.45846666005612513</v>
      </c>
      <c r="I29" s="46">
        <f t="shared" si="2"/>
        <v>0.54153333994387487</v>
      </c>
    </row>
    <row r="30" spans="1:9" x14ac:dyDescent="0.2">
      <c r="A30" s="4">
        <v>18</v>
      </c>
      <c r="B30" s="5">
        <v>46723</v>
      </c>
      <c r="C30" s="4">
        <f t="shared" si="0"/>
        <v>30</v>
      </c>
      <c r="D30" s="12">
        <f t="shared" si="3"/>
        <v>1326.8267374105974</v>
      </c>
      <c r="E30" s="12">
        <f t="shared" si="5"/>
        <v>196.37655272404027</v>
      </c>
      <c r="F30" s="12">
        <f t="shared" si="6"/>
        <v>1130.4501846865571</v>
      </c>
      <c r="G30" s="12">
        <f t="shared" si="4"/>
        <v>22434.736142198275</v>
      </c>
      <c r="H30" s="45">
        <f t="shared" si="1"/>
        <v>0.43647346580152285</v>
      </c>
      <c r="I30" s="46">
        <f t="shared" si="2"/>
        <v>0.5635265341984772</v>
      </c>
    </row>
    <row r="31" spans="1:9" x14ac:dyDescent="0.2">
      <c r="A31" s="4">
        <v>19</v>
      </c>
      <c r="B31" s="5">
        <v>46754</v>
      </c>
      <c r="C31" s="4">
        <f t="shared" si="0"/>
        <v>31</v>
      </c>
      <c r="D31" s="12">
        <f t="shared" si="3"/>
        <v>1326.8267374105974</v>
      </c>
      <c r="E31" s="12">
        <f t="shared" si="5"/>
        <v>186.95613451831898</v>
      </c>
      <c r="F31" s="12">
        <f t="shared" si="6"/>
        <v>1139.8706028922784</v>
      </c>
      <c r="G31" s="12">
        <f t="shared" si="4"/>
        <v>21294.865539305996</v>
      </c>
      <c r="H31" s="45">
        <f t="shared" si="1"/>
        <v>0.41429699492813221</v>
      </c>
      <c r="I31" s="46">
        <f t="shared" si="2"/>
        <v>0.58570300507186779</v>
      </c>
    </row>
    <row r="32" spans="1:9" x14ac:dyDescent="0.2">
      <c r="A32" s="4">
        <v>20</v>
      </c>
      <c r="B32" s="5">
        <v>46785</v>
      </c>
      <c r="C32" s="4">
        <f t="shared" si="0"/>
        <v>31</v>
      </c>
      <c r="D32" s="12">
        <f t="shared" si="3"/>
        <v>1326.8267374105974</v>
      </c>
      <c r="E32" s="12">
        <f t="shared" si="5"/>
        <v>177.45721282754997</v>
      </c>
      <c r="F32" s="12">
        <f t="shared" si="6"/>
        <v>1149.3695245830475</v>
      </c>
      <c r="G32" s="12">
        <f t="shared" si="4"/>
        <v>20145.49601472295</v>
      </c>
      <c r="H32" s="45">
        <f t="shared" si="1"/>
        <v>0.39193572013079669</v>
      </c>
      <c r="I32" s="46">
        <f t="shared" si="2"/>
        <v>0.60806427986920331</v>
      </c>
    </row>
    <row r="33" spans="1:9" x14ac:dyDescent="0.2">
      <c r="A33" s="4">
        <v>21</v>
      </c>
      <c r="B33" s="5">
        <v>46814</v>
      </c>
      <c r="C33" s="4">
        <f t="shared" si="0"/>
        <v>29</v>
      </c>
      <c r="D33" s="12">
        <f t="shared" si="3"/>
        <v>1326.8267374105974</v>
      </c>
      <c r="E33" s="12">
        <f t="shared" si="5"/>
        <v>167.87913345602459</v>
      </c>
      <c r="F33" s="12">
        <f t="shared" si="6"/>
        <v>1158.9476039545727</v>
      </c>
      <c r="G33" s="12">
        <f t="shared" si="4"/>
        <v>18986.548410768377</v>
      </c>
      <c r="H33" s="45">
        <f t="shared" si="1"/>
        <v>0.36938810137681666</v>
      </c>
      <c r="I33" s="46">
        <f t="shared" si="2"/>
        <v>0.63061189862318334</v>
      </c>
    </row>
    <row r="34" spans="1:9" x14ac:dyDescent="0.2">
      <c r="A34" s="4">
        <v>22</v>
      </c>
      <c r="B34" s="5">
        <v>46845</v>
      </c>
      <c r="C34" s="4">
        <f t="shared" si="0"/>
        <v>31</v>
      </c>
      <c r="D34" s="12">
        <f t="shared" si="3"/>
        <v>1326.8267374105974</v>
      </c>
      <c r="E34" s="12">
        <f t="shared" si="5"/>
        <v>158.22123675640316</v>
      </c>
      <c r="F34" s="12">
        <f t="shared" si="6"/>
        <v>1168.6055006541942</v>
      </c>
      <c r="G34" s="12">
        <f t="shared" si="4"/>
        <v>17817.942910114183</v>
      </c>
      <c r="H34" s="45">
        <f t="shared" si="1"/>
        <v>0.34665258579988684</v>
      </c>
      <c r="I34" s="46">
        <f t="shared" si="2"/>
        <v>0.65334741420011322</v>
      </c>
    </row>
    <row r="35" spans="1:9" x14ac:dyDescent="0.2">
      <c r="A35" s="4">
        <v>23</v>
      </c>
      <c r="B35" s="5">
        <v>46875</v>
      </c>
      <c r="C35" s="4">
        <f t="shared" si="0"/>
        <v>30</v>
      </c>
      <c r="D35" s="12">
        <f t="shared" si="3"/>
        <v>1326.8267374105974</v>
      </c>
      <c r="E35" s="12">
        <f t="shared" si="5"/>
        <v>148.48285758428486</v>
      </c>
      <c r="F35" s="12">
        <f t="shared" si="6"/>
        <v>1178.3438798263126</v>
      </c>
      <c r="G35" s="12">
        <f t="shared" si="4"/>
        <v>16639.599030287871</v>
      </c>
      <c r="H35" s="45">
        <f t="shared" si="1"/>
        <v>0.32372760759314922</v>
      </c>
      <c r="I35" s="46">
        <f t="shared" si="2"/>
        <v>0.67627239240685078</v>
      </c>
    </row>
    <row r="36" spans="1:9" x14ac:dyDescent="0.2">
      <c r="A36" s="4">
        <v>24</v>
      </c>
      <c r="B36" s="5">
        <v>46906</v>
      </c>
      <c r="C36" s="4">
        <f t="shared" si="0"/>
        <v>31</v>
      </c>
      <c r="D36" s="12">
        <f t="shared" si="3"/>
        <v>1326.8267374105974</v>
      </c>
      <c r="E36" s="12">
        <f t="shared" si="5"/>
        <v>138.66332525239895</v>
      </c>
      <c r="F36" s="12">
        <f t="shared" si="6"/>
        <v>1188.1634121581985</v>
      </c>
      <c r="G36" s="12">
        <f t="shared" si="4"/>
        <v>15451.435618129672</v>
      </c>
      <c r="H36" s="45">
        <f t="shared" si="1"/>
        <v>0.3006115879013555</v>
      </c>
      <c r="I36" s="46">
        <f t="shared" si="2"/>
        <v>0.69938841209864444</v>
      </c>
    </row>
    <row r="37" spans="1:9" x14ac:dyDescent="0.2">
      <c r="A37" s="4">
        <v>25</v>
      </c>
      <c r="B37" s="5">
        <v>46936</v>
      </c>
      <c r="C37" s="4">
        <f t="shared" si="0"/>
        <v>30</v>
      </c>
      <c r="D37" s="12">
        <f t="shared" si="3"/>
        <v>1326.8267374105974</v>
      </c>
      <c r="E37" s="12">
        <f t="shared" si="5"/>
        <v>128.76196348441394</v>
      </c>
      <c r="F37" s="12">
        <f t="shared" si="6"/>
        <v>1198.0647739261835</v>
      </c>
      <c r="G37" s="12">
        <f t="shared" si="4"/>
        <v>14253.370844203488</v>
      </c>
      <c r="H37" s="45">
        <f t="shared" si="1"/>
        <v>0.27730293471213013</v>
      </c>
      <c r="I37" s="46">
        <f t="shared" si="2"/>
        <v>0.72269706528786992</v>
      </c>
    </row>
    <row r="38" spans="1:9" x14ac:dyDescent="0.2">
      <c r="A38" s="4">
        <v>26</v>
      </c>
      <c r="B38" s="5">
        <v>46967</v>
      </c>
      <c r="C38" s="4">
        <f t="shared" si="0"/>
        <v>31</v>
      </c>
      <c r="D38" s="12">
        <f t="shared" si="3"/>
        <v>1326.8267374105974</v>
      </c>
      <c r="E38" s="12">
        <f t="shared" si="5"/>
        <v>118.77809036836241</v>
      </c>
      <c r="F38" s="12">
        <f t="shared" si="6"/>
        <v>1208.048647042235</v>
      </c>
      <c r="G38" s="12">
        <f t="shared" si="4"/>
        <v>13045.322197161253</v>
      </c>
      <c r="H38" s="45">
        <f t="shared" si="1"/>
        <v>0.25380004274632789</v>
      </c>
      <c r="I38" s="46">
        <f t="shared" si="2"/>
        <v>0.74619995725367216</v>
      </c>
    </row>
    <row r="39" spans="1:9" x14ac:dyDescent="0.2">
      <c r="A39" s="4">
        <v>27</v>
      </c>
      <c r="B39" s="5">
        <v>46998</v>
      </c>
      <c r="C39" s="4">
        <f t="shared" si="0"/>
        <v>31</v>
      </c>
      <c r="D39" s="12">
        <f t="shared" si="3"/>
        <v>1326.8267374105974</v>
      </c>
      <c r="E39" s="12">
        <f t="shared" si="5"/>
        <v>108.71101830967712</v>
      </c>
      <c r="F39" s="12">
        <f t="shared" si="6"/>
        <v>1218.1157191009202</v>
      </c>
      <c r="G39" s="12">
        <f t="shared" si="4"/>
        <v>11827.206478060332</v>
      </c>
      <c r="H39" s="45">
        <f t="shared" si="1"/>
        <v>0.23010129334747728</v>
      </c>
      <c r="I39" s="46">
        <f t="shared" si="2"/>
        <v>0.76989870665252269</v>
      </c>
    </row>
    <row r="40" spans="1:9" x14ac:dyDescent="0.2">
      <c r="A40" s="4">
        <v>28</v>
      </c>
      <c r="B40" s="5">
        <v>47028</v>
      </c>
      <c r="C40" s="4">
        <f t="shared" si="0"/>
        <v>30</v>
      </c>
      <c r="D40" s="12">
        <f t="shared" si="3"/>
        <v>1326.8267374105974</v>
      </c>
      <c r="E40" s="12">
        <f t="shared" si="5"/>
        <v>98.560053983836099</v>
      </c>
      <c r="F40" s="12">
        <f t="shared" si="6"/>
        <v>1228.2666834267613</v>
      </c>
      <c r="G40" s="12">
        <f t="shared" si="4"/>
        <v>10598.93979463357</v>
      </c>
      <c r="H40" s="45">
        <f t="shared" si="1"/>
        <v>0.20620505437030293</v>
      </c>
      <c r="I40" s="46">
        <f t="shared" si="2"/>
        <v>0.7937949456296971</v>
      </c>
    </row>
    <row r="41" spans="1:9" x14ac:dyDescent="0.2">
      <c r="A41" s="4">
        <v>29</v>
      </c>
      <c r="B41" s="5">
        <v>47059</v>
      </c>
      <c r="C41" s="4">
        <f t="shared" si="0"/>
        <v>31</v>
      </c>
      <c r="D41" s="12">
        <f t="shared" si="3"/>
        <v>1326.8267374105974</v>
      </c>
      <c r="E41" s="12">
        <f t="shared" si="5"/>
        <v>88.324498288613086</v>
      </c>
      <c r="F41" s="12">
        <f t="shared" si="6"/>
        <v>1238.5022391219843</v>
      </c>
      <c r="G41" s="12">
        <f t="shared" si="4"/>
        <v>9360.4375555115857</v>
      </c>
      <c r="H41" s="45">
        <f t="shared" si="1"/>
        <v>0.18210968006831879</v>
      </c>
      <c r="I41" s="46">
        <f t="shared" si="2"/>
        <v>0.81789031993168115</v>
      </c>
    </row>
    <row r="42" spans="1:9" x14ac:dyDescent="0.2">
      <c r="A42" s="4">
        <v>30</v>
      </c>
      <c r="B42" s="5">
        <v>47089</v>
      </c>
      <c r="C42" s="4">
        <f t="shared" si="0"/>
        <v>30</v>
      </c>
      <c r="D42" s="12">
        <f t="shared" si="3"/>
        <v>1326.8267374105974</v>
      </c>
      <c r="E42" s="12">
        <f t="shared" si="5"/>
        <v>78.003646295929883</v>
      </c>
      <c r="F42" s="12">
        <f t="shared" si="6"/>
        <v>1248.8230911146675</v>
      </c>
      <c r="G42" s="12">
        <f t="shared" si="4"/>
        <v>8111.6144643969183</v>
      </c>
      <c r="H42" s="45">
        <f t="shared" si="1"/>
        <v>0.15781351098048479</v>
      </c>
      <c r="I42" s="46">
        <f t="shared" si="2"/>
        <v>0.84218648901951521</v>
      </c>
    </row>
    <row r="43" spans="1:9" x14ac:dyDescent="0.2">
      <c r="A43" s="4">
        <v>31</v>
      </c>
      <c r="B43" s="5">
        <v>47120</v>
      </c>
      <c r="C43" s="4">
        <f t="shared" si="0"/>
        <v>31</v>
      </c>
      <c r="D43" s="12">
        <f t="shared" si="3"/>
        <v>1326.8267374105974</v>
      </c>
      <c r="E43" s="12">
        <f t="shared" si="5"/>
        <v>67.596787203307656</v>
      </c>
      <c r="F43" s="12">
        <f t="shared" si="6"/>
        <v>1259.2299502072897</v>
      </c>
      <c r="G43" s="12">
        <f t="shared" si="4"/>
        <v>6852.384514189629</v>
      </c>
      <c r="H43" s="45">
        <f t="shared" si="1"/>
        <v>0.13331487381691887</v>
      </c>
      <c r="I43" s="46">
        <f t="shared" si="2"/>
        <v>0.86668512618308113</v>
      </c>
    </row>
    <row r="44" spans="1:9" x14ac:dyDescent="0.2">
      <c r="A44" s="4">
        <v>32</v>
      </c>
      <c r="B44" s="5">
        <v>47151</v>
      </c>
      <c r="C44" s="4">
        <f t="shared" si="0"/>
        <v>31</v>
      </c>
      <c r="D44" s="12">
        <f t="shared" si="3"/>
        <v>1326.8267374105974</v>
      </c>
      <c r="E44" s="12">
        <f t="shared" si="5"/>
        <v>57.103204284913581</v>
      </c>
      <c r="F44" s="12">
        <f t="shared" si="6"/>
        <v>1269.7235331256838</v>
      </c>
      <c r="G44" s="12">
        <f t="shared" si="4"/>
        <v>5582.6609810639457</v>
      </c>
      <c r="H44" s="45">
        <f t="shared" si="1"/>
        <v>0.10861208134365653</v>
      </c>
      <c r="I44" s="46">
        <f t="shared" si="2"/>
        <v>0.89138791865634348</v>
      </c>
    </row>
    <row r="45" spans="1:9" x14ac:dyDescent="0.2">
      <c r="A45" s="4">
        <v>33</v>
      </c>
      <c r="B45" s="5">
        <v>47179</v>
      </c>
      <c r="C45" s="4">
        <f t="shared" si="0"/>
        <v>28</v>
      </c>
      <c r="D45" s="12">
        <f t="shared" si="3"/>
        <v>1326.8267374105974</v>
      </c>
      <c r="E45" s="12">
        <f t="shared" si="5"/>
        <v>46.522174842199547</v>
      </c>
      <c r="F45" s="12">
        <f t="shared" si="6"/>
        <v>1280.3045625683978</v>
      </c>
      <c r="G45" s="12">
        <f t="shared" si="4"/>
        <v>4302.3564184955476</v>
      </c>
      <c r="H45" s="45">
        <f t="shared" si="1"/>
        <v>8.3703432266450342E-2</v>
      </c>
      <c r="I45" s="46">
        <f t="shared" si="2"/>
        <v>0.91629656773354962</v>
      </c>
    </row>
    <row r="46" spans="1:9" x14ac:dyDescent="0.2">
      <c r="A46" s="4">
        <v>34</v>
      </c>
      <c r="B46" s="5">
        <v>47210</v>
      </c>
      <c r="C46" s="4">
        <f t="shared" si="0"/>
        <v>31</v>
      </c>
      <c r="D46" s="12">
        <f t="shared" si="3"/>
        <v>1326.8267374105974</v>
      </c>
      <c r="E46" s="12">
        <f t="shared" si="5"/>
        <v>35.852970154129565</v>
      </c>
      <c r="F46" s="12">
        <f t="shared" si="6"/>
        <v>1290.9737672564679</v>
      </c>
      <c r="G46" s="12">
        <f t="shared" si="4"/>
        <v>3011.3826512390797</v>
      </c>
      <c r="H46" s="45">
        <f t="shared" si="1"/>
        <v>5.8587211113600775E-2</v>
      </c>
      <c r="I46" s="46">
        <f t="shared" si="2"/>
        <v>0.94141278888639923</v>
      </c>
    </row>
    <row r="47" spans="1:9" x14ac:dyDescent="0.2">
      <c r="A47" s="4">
        <v>35</v>
      </c>
      <c r="B47" s="5">
        <v>47240</v>
      </c>
      <c r="C47" s="4">
        <f t="shared" si="0"/>
        <v>30</v>
      </c>
      <c r="D47" s="12">
        <f t="shared" si="3"/>
        <v>1326.8267374105974</v>
      </c>
      <c r="E47" s="12">
        <f t="shared" si="5"/>
        <v>25.094855426992329</v>
      </c>
      <c r="F47" s="12">
        <f t="shared" si="6"/>
        <v>1301.731881983605</v>
      </c>
      <c r="G47" s="12">
        <f t="shared" si="4"/>
        <v>1709.6507692554746</v>
      </c>
      <c r="H47" s="45">
        <f t="shared" si="1"/>
        <v>3.3261688117810793E-2</v>
      </c>
      <c r="I47" s="46">
        <f t="shared" si="2"/>
        <v>0.96673831188218917</v>
      </c>
    </row>
    <row r="48" spans="1:9" x14ac:dyDescent="0.2">
      <c r="A48" s="55">
        <v>36</v>
      </c>
      <c r="B48" s="56">
        <v>47271</v>
      </c>
      <c r="C48" s="55">
        <f t="shared" si="0"/>
        <v>31</v>
      </c>
      <c r="D48" s="57">
        <f>$E$3+489-92</f>
        <v>1723.8267374105974</v>
      </c>
      <c r="E48" s="57">
        <f t="shared" si="5"/>
        <v>14.247089743795621</v>
      </c>
      <c r="F48" s="57">
        <f t="shared" si="6"/>
        <v>1709.5796476668017</v>
      </c>
      <c r="G48" s="57">
        <f t="shared" si="4"/>
        <v>7.1121588672895086E-2</v>
      </c>
      <c r="H48" s="45">
        <f t="shared" si="1"/>
        <v>1.3836884955816165E-6</v>
      </c>
      <c r="I48" s="46">
        <f t="shared" si="2"/>
        <v>0.99999861631150444</v>
      </c>
    </row>
  </sheetData>
  <hyperlinks>
    <hyperlink ref="A1" location="Scenarios!C10" display="Scenario 3" xr:uid="{FC94271B-CD07-4443-97EA-81F35D80B4D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CFAFA-C5A3-7441-A71D-84CDFEE0D9AA}">
  <dimension ref="A1:I64"/>
  <sheetViews>
    <sheetView tabSelected="1" workbookViewId="0">
      <selection activeCell="F18" sqref="F18"/>
    </sheetView>
  </sheetViews>
  <sheetFormatPr baseColWidth="10" defaultRowHeight="16" x14ac:dyDescent="0.2"/>
  <cols>
    <col min="1" max="1" width="20.1640625" customWidth="1"/>
    <col min="2" max="2" width="24.5" customWidth="1"/>
    <col min="4" max="4" width="20.6640625" customWidth="1"/>
    <col min="5" max="5" width="44.33203125" customWidth="1"/>
  </cols>
  <sheetData>
    <row r="1" spans="1:9" x14ac:dyDescent="0.2">
      <c r="A1" s="30" t="s">
        <v>42</v>
      </c>
      <c r="B1" s="31" t="s">
        <v>41</v>
      </c>
    </row>
    <row r="2" spans="1:9" ht="17" x14ac:dyDescent="0.2">
      <c r="A2" s="50" t="s">
        <v>34</v>
      </c>
      <c r="B2" s="5">
        <v>46144</v>
      </c>
      <c r="C2" s="5"/>
      <c r="D2" s="50" t="s">
        <v>33</v>
      </c>
      <c r="E2" s="5">
        <v>46175</v>
      </c>
      <c r="F2" s="1"/>
      <c r="G2" s="1"/>
    </row>
    <row r="3" spans="1:9" ht="17" x14ac:dyDescent="0.2">
      <c r="A3" s="50" t="s">
        <v>31</v>
      </c>
      <c r="B3" s="29">
        <v>5.5E-2</v>
      </c>
      <c r="C3" s="4"/>
      <c r="D3" s="50" t="s">
        <v>30</v>
      </c>
      <c r="E3" s="8">
        <f>PMT(B3/12,B7,-B6)</f>
        <v>962.81807440786827</v>
      </c>
      <c r="F3" s="1"/>
      <c r="G3" s="1"/>
    </row>
    <row r="4" spans="1:9" ht="85" x14ac:dyDescent="0.2">
      <c r="A4" s="50" t="s">
        <v>24</v>
      </c>
      <c r="B4" s="28">
        <v>51400</v>
      </c>
      <c r="C4" s="4"/>
      <c r="D4" s="50" t="s">
        <v>27</v>
      </c>
      <c r="E4" s="4" t="s">
        <v>26</v>
      </c>
      <c r="F4" s="1"/>
      <c r="G4" s="1"/>
    </row>
    <row r="5" spans="1:9" ht="17" x14ac:dyDescent="0.2">
      <c r="A5" s="50" t="s">
        <v>21</v>
      </c>
      <c r="B5" s="27">
        <f>10000</f>
        <v>10000</v>
      </c>
      <c r="C5" s="4"/>
      <c r="D5" s="53"/>
      <c r="E5" s="4"/>
      <c r="F5" s="1"/>
      <c r="G5" s="1"/>
    </row>
    <row r="6" spans="1:9" ht="17" x14ac:dyDescent="0.2">
      <c r="A6" s="50" t="s">
        <v>18</v>
      </c>
      <c r="B6" s="12">
        <f>B4-B5</f>
        <v>41400</v>
      </c>
      <c r="C6" s="4"/>
      <c r="D6" s="53"/>
      <c r="E6" s="4"/>
      <c r="F6" s="1"/>
      <c r="G6" s="1"/>
    </row>
    <row r="7" spans="1:9" ht="17" x14ac:dyDescent="0.2">
      <c r="A7" s="50" t="s">
        <v>17</v>
      </c>
      <c r="B7" s="4">
        <v>48</v>
      </c>
      <c r="C7" s="25" t="s">
        <v>14</v>
      </c>
      <c r="D7" s="53" t="s">
        <v>16</v>
      </c>
      <c r="E7" s="4">
        <v>52</v>
      </c>
      <c r="F7" s="1"/>
      <c r="G7" s="1"/>
    </row>
    <row r="8" spans="1:9" x14ac:dyDescent="0.2">
      <c r="A8" s="1"/>
      <c r="B8" s="1"/>
      <c r="C8" s="1"/>
      <c r="D8" s="1"/>
      <c r="E8" s="1"/>
      <c r="F8" s="1"/>
      <c r="G8" s="1"/>
    </row>
    <row r="9" spans="1:9" x14ac:dyDescent="0.2">
      <c r="A9" s="1"/>
      <c r="B9" s="1"/>
      <c r="C9" s="1"/>
      <c r="D9" s="1"/>
      <c r="E9" s="1"/>
      <c r="F9" s="1"/>
      <c r="G9" s="1"/>
    </row>
    <row r="10" spans="1:9" x14ac:dyDescent="0.2">
      <c r="A10" s="1"/>
      <c r="B10" s="1"/>
      <c r="C10" s="1"/>
      <c r="D10" s="1"/>
      <c r="E10" s="1"/>
      <c r="F10" s="1"/>
      <c r="G10" s="1"/>
    </row>
    <row r="11" spans="1:9" ht="34" x14ac:dyDescent="0.2">
      <c r="A11" s="50" t="s">
        <v>6</v>
      </c>
      <c r="B11" s="50" t="s">
        <v>5</v>
      </c>
      <c r="C11" s="50" t="s">
        <v>4</v>
      </c>
      <c r="D11" s="50" t="s">
        <v>9</v>
      </c>
      <c r="E11" s="50" t="s">
        <v>8</v>
      </c>
      <c r="F11" s="50" t="s">
        <v>7</v>
      </c>
      <c r="G11" s="50" t="s">
        <v>0</v>
      </c>
      <c r="H11" s="50" t="s">
        <v>73</v>
      </c>
      <c r="I11" s="50" t="s">
        <v>74</v>
      </c>
    </row>
    <row r="12" spans="1:9" x14ac:dyDescent="0.2">
      <c r="A12" s="4">
        <v>0</v>
      </c>
      <c r="B12" s="5">
        <f>'Disbursement and due date same'!$C$2</f>
        <v>46144</v>
      </c>
      <c r="C12" s="4"/>
      <c r="D12" s="4"/>
      <c r="E12" s="4"/>
      <c r="F12" s="4"/>
      <c r="G12" s="12">
        <f>'Disbursement and due date same'!$F$5</f>
        <v>41400</v>
      </c>
      <c r="H12" s="45">
        <f>$G12/$B$4</f>
        <v>0.80544747081712065</v>
      </c>
      <c r="I12" s="46">
        <f>1-H12</f>
        <v>0.19455252918287935</v>
      </c>
    </row>
    <row r="13" spans="1:9" x14ac:dyDescent="0.2">
      <c r="A13" s="15">
        <v>1</v>
      </c>
      <c r="B13" s="16">
        <v>46175</v>
      </c>
      <c r="C13" s="15">
        <f t="shared" ref="C13:C44" si="0">B13-B12</f>
        <v>31</v>
      </c>
      <c r="D13" s="20">
        <v>0</v>
      </c>
      <c r="E13" s="20">
        <f>G12*$B$3/12</f>
        <v>189.75</v>
      </c>
      <c r="F13" s="20">
        <v>0</v>
      </c>
      <c r="G13" s="20">
        <f>'Disbursement and due date same'!$F$5</f>
        <v>41400</v>
      </c>
      <c r="H13" s="45">
        <f t="shared" ref="H13:H64" si="1">$G13/$B$4</f>
        <v>0.80544747081712065</v>
      </c>
      <c r="I13" s="46">
        <f t="shared" ref="I13:I64" si="2">1-H13</f>
        <v>0.19455252918287935</v>
      </c>
    </row>
    <row r="14" spans="1:9" x14ac:dyDescent="0.2">
      <c r="A14" s="15">
        <v>2</v>
      </c>
      <c r="B14" s="16">
        <v>46205</v>
      </c>
      <c r="C14" s="15">
        <f t="shared" si="0"/>
        <v>30</v>
      </c>
      <c r="D14" s="20">
        <v>0</v>
      </c>
      <c r="E14" s="20">
        <f>G13*$B$3/12</f>
        <v>189.75</v>
      </c>
      <c r="F14" s="20">
        <v>0</v>
      </c>
      <c r="G14" s="20">
        <f>'Disbursement and due date same'!$F$5</f>
        <v>41400</v>
      </c>
      <c r="H14" s="45">
        <f t="shared" si="1"/>
        <v>0.80544747081712065</v>
      </c>
      <c r="I14" s="46">
        <f t="shared" si="2"/>
        <v>0.19455252918287935</v>
      </c>
    </row>
    <row r="15" spans="1:9" x14ac:dyDescent="0.2">
      <c r="A15" s="15">
        <v>3</v>
      </c>
      <c r="B15" s="16">
        <v>46236</v>
      </c>
      <c r="C15" s="15">
        <f t="shared" si="0"/>
        <v>31</v>
      </c>
      <c r="D15" s="20">
        <v>0</v>
      </c>
      <c r="E15" s="20">
        <f>G14*$B$3/12</f>
        <v>189.75</v>
      </c>
      <c r="F15" s="20">
        <v>0</v>
      </c>
      <c r="G15" s="20">
        <f>'Disbursement and due date same'!$F$5</f>
        <v>41400</v>
      </c>
      <c r="H15" s="45">
        <f t="shared" si="1"/>
        <v>0.80544747081712065</v>
      </c>
      <c r="I15" s="46">
        <f t="shared" si="2"/>
        <v>0.19455252918287935</v>
      </c>
    </row>
    <row r="16" spans="1:9" x14ac:dyDescent="0.2">
      <c r="A16" s="9">
        <v>4</v>
      </c>
      <c r="B16" s="10">
        <v>46267</v>
      </c>
      <c r="C16" s="9">
        <f t="shared" si="0"/>
        <v>31</v>
      </c>
      <c r="D16" s="13">
        <f t="shared" ref="D16:D63" si="3">$E$3</f>
        <v>962.81807440786827</v>
      </c>
      <c r="E16" s="18">
        <f>(G15*$B$3/12)+SUM(E13:E15)</f>
        <v>759</v>
      </c>
      <c r="F16" s="18">
        <f t="shared" ref="F16:F47" si="4">D16-E16</f>
        <v>203.81807440786827</v>
      </c>
      <c r="G16" s="18">
        <f>G12-F16</f>
        <v>41196.181925592129</v>
      </c>
      <c r="H16" s="45">
        <f t="shared" si="1"/>
        <v>0.80148213863019702</v>
      </c>
      <c r="I16" s="46">
        <f t="shared" si="2"/>
        <v>0.19851786136980298</v>
      </c>
    </row>
    <row r="17" spans="1:9" x14ac:dyDescent="0.2">
      <c r="A17" s="4">
        <v>5</v>
      </c>
      <c r="B17" s="5">
        <v>46297</v>
      </c>
      <c r="C17" s="4">
        <f t="shared" si="0"/>
        <v>30</v>
      </c>
      <c r="D17" s="3">
        <f t="shared" si="3"/>
        <v>962.81807440786827</v>
      </c>
      <c r="E17" s="2">
        <f t="shared" ref="E17:E64" si="5">G16*$B$3/12</f>
        <v>188.81583382563062</v>
      </c>
      <c r="F17" s="2">
        <f t="shared" si="4"/>
        <v>774.00224058223762</v>
      </c>
      <c r="G17" s="2">
        <f t="shared" ref="G17:G64" si="6">G16-F17</f>
        <v>40422.179685009891</v>
      </c>
      <c r="H17" s="45">
        <f t="shared" si="1"/>
        <v>0.78642372928034809</v>
      </c>
      <c r="I17" s="46">
        <f t="shared" si="2"/>
        <v>0.21357627071965191</v>
      </c>
    </row>
    <row r="18" spans="1:9" x14ac:dyDescent="0.2">
      <c r="A18" s="4">
        <v>6</v>
      </c>
      <c r="B18" s="5">
        <v>46328</v>
      </c>
      <c r="C18" s="4">
        <f t="shared" si="0"/>
        <v>31</v>
      </c>
      <c r="D18" s="3">
        <f t="shared" si="3"/>
        <v>962.81807440786827</v>
      </c>
      <c r="E18" s="2">
        <f t="shared" si="5"/>
        <v>185.26832355629531</v>
      </c>
      <c r="F18" s="2">
        <f t="shared" si="4"/>
        <v>777.54975085157298</v>
      </c>
      <c r="G18" s="2">
        <f t="shared" si="6"/>
        <v>39644.629934158314</v>
      </c>
      <c r="H18" s="45">
        <f t="shared" si="1"/>
        <v>0.77129630222097889</v>
      </c>
      <c r="I18" s="46">
        <f t="shared" si="2"/>
        <v>0.22870369777902111</v>
      </c>
    </row>
    <row r="19" spans="1:9" x14ac:dyDescent="0.2">
      <c r="A19" s="4">
        <v>7</v>
      </c>
      <c r="B19" s="5">
        <v>46358</v>
      </c>
      <c r="C19" s="4">
        <f t="shared" si="0"/>
        <v>30</v>
      </c>
      <c r="D19" s="3">
        <f t="shared" si="3"/>
        <v>962.81807440786827</v>
      </c>
      <c r="E19" s="2">
        <f t="shared" si="5"/>
        <v>181.70455386489229</v>
      </c>
      <c r="F19" s="2">
        <f t="shared" si="4"/>
        <v>781.11352054297595</v>
      </c>
      <c r="G19" s="2">
        <f t="shared" si="6"/>
        <v>38863.51641361534</v>
      </c>
      <c r="H19" s="45">
        <f t="shared" si="1"/>
        <v>0.75609954112092104</v>
      </c>
      <c r="I19" s="46">
        <f t="shared" si="2"/>
        <v>0.24390045887907896</v>
      </c>
    </row>
    <row r="20" spans="1:9" x14ac:dyDescent="0.2">
      <c r="A20" s="4">
        <v>8</v>
      </c>
      <c r="B20" s="5">
        <v>46389</v>
      </c>
      <c r="C20" s="4">
        <f t="shared" si="0"/>
        <v>31</v>
      </c>
      <c r="D20" s="3">
        <f t="shared" si="3"/>
        <v>962.81807440786827</v>
      </c>
      <c r="E20" s="2">
        <f t="shared" si="5"/>
        <v>178.12445022907033</v>
      </c>
      <c r="F20" s="2">
        <f t="shared" si="4"/>
        <v>784.6936241787979</v>
      </c>
      <c r="G20" s="2">
        <f t="shared" si="6"/>
        <v>38078.822789436541</v>
      </c>
      <c r="H20" s="45">
        <f t="shared" si="1"/>
        <v>0.74083312819915448</v>
      </c>
      <c r="I20" s="46">
        <f t="shared" si="2"/>
        <v>0.25916687180084552</v>
      </c>
    </row>
    <row r="21" spans="1:9" x14ac:dyDescent="0.2">
      <c r="A21" s="4">
        <v>9</v>
      </c>
      <c r="B21" s="5">
        <v>46420</v>
      </c>
      <c r="C21" s="4">
        <f t="shared" si="0"/>
        <v>31</v>
      </c>
      <c r="D21" s="3">
        <f t="shared" si="3"/>
        <v>962.81807440786827</v>
      </c>
      <c r="E21" s="2">
        <f t="shared" si="5"/>
        <v>174.5279377849175</v>
      </c>
      <c r="F21" s="2">
        <f t="shared" si="4"/>
        <v>788.29013662295074</v>
      </c>
      <c r="G21" s="2">
        <f t="shared" si="6"/>
        <v>37290.532652813592</v>
      </c>
      <c r="H21" s="45">
        <f t="shared" si="1"/>
        <v>0.72549674421816324</v>
      </c>
      <c r="I21" s="46">
        <f t="shared" si="2"/>
        <v>0.27450325578183676</v>
      </c>
    </row>
    <row r="22" spans="1:9" x14ac:dyDescent="0.2">
      <c r="A22" s="4">
        <v>10</v>
      </c>
      <c r="B22" s="5">
        <v>46448</v>
      </c>
      <c r="C22" s="4">
        <f t="shared" si="0"/>
        <v>28</v>
      </c>
      <c r="D22" s="3">
        <f t="shared" si="3"/>
        <v>962.81807440786827</v>
      </c>
      <c r="E22" s="2">
        <f t="shared" si="5"/>
        <v>170.91494132539563</v>
      </c>
      <c r="F22" s="2">
        <f t="shared" si="4"/>
        <v>791.90313308247266</v>
      </c>
      <c r="G22" s="2">
        <f t="shared" si="6"/>
        <v>36498.629519731119</v>
      </c>
      <c r="H22" s="45">
        <f t="shared" si="1"/>
        <v>0.71009006847725908</v>
      </c>
      <c r="I22" s="46">
        <f t="shared" si="2"/>
        <v>0.28990993152274092</v>
      </c>
    </row>
    <row r="23" spans="1:9" x14ac:dyDescent="0.2">
      <c r="A23" s="4">
        <v>11</v>
      </c>
      <c r="B23" s="5">
        <v>46479</v>
      </c>
      <c r="C23" s="4">
        <f t="shared" si="0"/>
        <v>31</v>
      </c>
      <c r="D23" s="3">
        <f t="shared" si="3"/>
        <v>962.81807440786827</v>
      </c>
      <c r="E23" s="2">
        <f t="shared" si="5"/>
        <v>167.28538529876764</v>
      </c>
      <c r="F23" s="2">
        <f t="shared" si="4"/>
        <v>795.5326891091006</v>
      </c>
      <c r="G23" s="2">
        <f t="shared" si="6"/>
        <v>35703.096830622017</v>
      </c>
      <c r="H23" s="45">
        <f t="shared" si="1"/>
        <v>0.6946127788058758</v>
      </c>
      <c r="I23" s="46">
        <f t="shared" si="2"/>
        <v>0.3053872211941242</v>
      </c>
    </row>
    <row r="24" spans="1:9" x14ac:dyDescent="0.2">
      <c r="A24" s="4">
        <v>12</v>
      </c>
      <c r="B24" s="5">
        <v>46509</v>
      </c>
      <c r="C24" s="4">
        <f t="shared" si="0"/>
        <v>30</v>
      </c>
      <c r="D24" s="3">
        <f t="shared" si="3"/>
        <v>962.81807440786827</v>
      </c>
      <c r="E24" s="2">
        <f t="shared" si="5"/>
        <v>163.63919380701756</v>
      </c>
      <c r="F24" s="2">
        <f t="shared" si="4"/>
        <v>799.17888060085068</v>
      </c>
      <c r="G24" s="2">
        <f t="shared" si="6"/>
        <v>34903.917950021169</v>
      </c>
      <c r="H24" s="45">
        <f t="shared" si="1"/>
        <v>0.6790645515568321</v>
      </c>
      <c r="I24" s="46">
        <f t="shared" si="2"/>
        <v>0.3209354484431679</v>
      </c>
    </row>
    <row r="25" spans="1:9" x14ac:dyDescent="0.2">
      <c r="A25" s="4">
        <v>13</v>
      </c>
      <c r="B25" s="5">
        <v>46540</v>
      </c>
      <c r="C25" s="4">
        <f t="shared" si="0"/>
        <v>31</v>
      </c>
      <c r="D25" s="3">
        <f t="shared" si="3"/>
        <v>962.81807440786827</v>
      </c>
      <c r="E25" s="2">
        <f t="shared" si="5"/>
        <v>159.97629060426368</v>
      </c>
      <c r="F25" s="2">
        <f t="shared" si="4"/>
        <v>802.84178380360459</v>
      </c>
      <c r="G25" s="2">
        <f t="shared" si="6"/>
        <v>34101.076166217565</v>
      </c>
      <c r="H25" s="45">
        <f t="shared" si="1"/>
        <v>0.66344506159956351</v>
      </c>
      <c r="I25" s="46">
        <f t="shared" si="2"/>
        <v>0.33655493840043649</v>
      </c>
    </row>
    <row r="26" spans="1:9" x14ac:dyDescent="0.2">
      <c r="A26" s="4">
        <v>14</v>
      </c>
      <c r="B26" s="5">
        <v>46570</v>
      </c>
      <c r="C26" s="4">
        <f t="shared" si="0"/>
        <v>30</v>
      </c>
      <c r="D26" s="3">
        <f t="shared" si="3"/>
        <v>962.81807440786827</v>
      </c>
      <c r="E26" s="2">
        <f t="shared" si="5"/>
        <v>156.29659909516383</v>
      </c>
      <c r="F26" s="2">
        <f t="shared" si="4"/>
        <v>806.52147531270441</v>
      </c>
      <c r="G26" s="2">
        <f t="shared" si="6"/>
        <v>33294.554690904857</v>
      </c>
      <c r="H26" s="45">
        <f t="shared" si="1"/>
        <v>0.64775398231332404</v>
      </c>
      <c r="I26" s="46">
        <f t="shared" si="2"/>
        <v>0.35224601768667596</v>
      </c>
    </row>
    <row r="27" spans="1:9" x14ac:dyDescent="0.2">
      <c r="A27" s="4">
        <v>15</v>
      </c>
      <c r="B27" s="5">
        <v>46601</v>
      </c>
      <c r="C27" s="4">
        <f t="shared" si="0"/>
        <v>31</v>
      </c>
      <c r="D27" s="3">
        <f t="shared" si="3"/>
        <v>962.81807440786827</v>
      </c>
      <c r="E27" s="2">
        <f t="shared" si="5"/>
        <v>152.60004233331392</v>
      </c>
      <c r="F27" s="2">
        <f t="shared" si="4"/>
        <v>810.21803207455434</v>
      </c>
      <c r="G27" s="2">
        <f t="shared" si="6"/>
        <v>32484.336658830303</v>
      </c>
      <c r="H27" s="45">
        <f t="shared" si="1"/>
        <v>0.63199098558035605</v>
      </c>
      <c r="I27" s="46">
        <f t="shared" si="2"/>
        <v>0.36800901441964395</v>
      </c>
    </row>
    <row r="28" spans="1:9" x14ac:dyDescent="0.2">
      <c r="A28" s="4">
        <v>16</v>
      </c>
      <c r="B28" s="5">
        <v>46632</v>
      </c>
      <c r="C28" s="4">
        <f t="shared" si="0"/>
        <v>31</v>
      </c>
      <c r="D28" s="3">
        <f t="shared" si="3"/>
        <v>962.81807440786827</v>
      </c>
      <c r="E28" s="2">
        <f t="shared" si="5"/>
        <v>148.88654301963888</v>
      </c>
      <c r="F28" s="2">
        <f t="shared" si="4"/>
        <v>813.93153138822936</v>
      </c>
      <c r="G28" s="2">
        <f t="shared" si="6"/>
        <v>31670.405127442074</v>
      </c>
      <c r="H28" s="45">
        <f t="shared" si="1"/>
        <v>0.61615574177902865</v>
      </c>
      <c r="I28" s="46">
        <f t="shared" si="2"/>
        <v>0.38384425822097135</v>
      </c>
    </row>
    <row r="29" spans="1:9" x14ac:dyDescent="0.2">
      <c r="A29" s="4">
        <v>17</v>
      </c>
      <c r="B29" s="5">
        <v>46662</v>
      </c>
      <c r="C29" s="4">
        <f t="shared" si="0"/>
        <v>30</v>
      </c>
      <c r="D29" s="3">
        <f t="shared" si="3"/>
        <v>962.81807440786827</v>
      </c>
      <c r="E29" s="2">
        <f t="shared" si="5"/>
        <v>145.15602350077617</v>
      </c>
      <c r="F29" s="2">
        <f t="shared" si="4"/>
        <v>817.66205090709207</v>
      </c>
      <c r="G29" s="2">
        <f t="shared" si="6"/>
        <v>30852.743076534982</v>
      </c>
      <c r="H29" s="45">
        <f t="shared" si="1"/>
        <v>0.60024791977694514</v>
      </c>
      <c r="I29" s="46">
        <f t="shared" si="2"/>
        <v>0.39975208022305486</v>
      </c>
    </row>
    <row r="30" spans="1:9" x14ac:dyDescent="0.2">
      <c r="A30" s="4">
        <v>18</v>
      </c>
      <c r="B30" s="5">
        <v>46693</v>
      </c>
      <c r="C30" s="4">
        <f t="shared" si="0"/>
        <v>31</v>
      </c>
      <c r="D30" s="3">
        <f t="shared" si="3"/>
        <v>962.81807440786827</v>
      </c>
      <c r="E30" s="2">
        <f t="shared" si="5"/>
        <v>141.408405767452</v>
      </c>
      <c r="F30" s="2">
        <f t="shared" si="4"/>
        <v>821.40966864041627</v>
      </c>
      <c r="G30" s="2">
        <f t="shared" si="6"/>
        <v>30031.333407894566</v>
      </c>
      <c r="H30" s="45">
        <f t="shared" si="1"/>
        <v>0.5842671869240188</v>
      </c>
      <c r="I30" s="46">
        <f t="shared" si="2"/>
        <v>0.4157328130759812</v>
      </c>
    </row>
    <row r="31" spans="1:9" x14ac:dyDescent="0.2">
      <c r="A31" s="4">
        <v>19</v>
      </c>
      <c r="B31" s="5">
        <v>46723</v>
      </c>
      <c r="C31" s="4">
        <f t="shared" si="0"/>
        <v>30</v>
      </c>
      <c r="D31" s="3">
        <f t="shared" si="3"/>
        <v>962.81807440786827</v>
      </c>
      <c r="E31" s="2">
        <f t="shared" si="5"/>
        <v>137.64361145285008</v>
      </c>
      <c r="F31" s="2">
        <f t="shared" si="4"/>
        <v>825.17446295501816</v>
      </c>
      <c r="G31" s="2">
        <f t="shared" si="6"/>
        <v>29206.158944939547</v>
      </c>
      <c r="H31" s="45">
        <f t="shared" si="1"/>
        <v>0.56821320904551653</v>
      </c>
      <c r="I31" s="46">
        <f t="shared" si="2"/>
        <v>0.43178679095448347</v>
      </c>
    </row>
    <row r="32" spans="1:9" x14ac:dyDescent="0.2">
      <c r="A32" s="4">
        <v>20</v>
      </c>
      <c r="B32" s="5">
        <v>46754</v>
      </c>
      <c r="C32" s="4">
        <f t="shared" si="0"/>
        <v>31</v>
      </c>
      <c r="D32" s="3">
        <f t="shared" si="3"/>
        <v>962.81807440786827</v>
      </c>
      <c r="E32" s="2">
        <f t="shared" si="5"/>
        <v>133.86156183097293</v>
      </c>
      <c r="F32" s="2">
        <f t="shared" si="4"/>
        <v>828.95651257689531</v>
      </c>
      <c r="G32" s="2">
        <f t="shared" si="6"/>
        <v>28377.20243236265</v>
      </c>
      <c r="H32" s="45">
        <f t="shared" si="1"/>
        <v>0.55208565043507096</v>
      </c>
      <c r="I32" s="46">
        <f t="shared" si="2"/>
        <v>0.44791434956492904</v>
      </c>
    </row>
    <row r="33" spans="1:9" x14ac:dyDescent="0.2">
      <c r="A33" s="4">
        <v>21</v>
      </c>
      <c r="B33" s="5">
        <v>46785</v>
      </c>
      <c r="C33" s="4">
        <f t="shared" si="0"/>
        <v>31</v>
      </c>
      <c r="D33" s="3">
        <f t="shared" si="3"/>
        <v>962.81807440786827</v>
      </c>
      <c r="E33" s="2">
        <f t="shared" si="5"/>
        <v>130.06217781499547</v>
      </c>
      <c r="F33" s="2">
        <f t="shared" si="4"/>
        <v>832.75589659287277</v>
      </c>
      <c r="G33" s="2">
        <f t="shared" si="6"/>
        <v>27544.446535769777</v>
      </c>
      <c r="H33" s="45">
        <f t="shared" si="1"/>
        <v>0.53588417384766107</v>
      </c>
      <c r="I33" s="46">
        <f t="shared" si="2"/>
        <v>0.46411582615233893</v>
      </c>
    </row>
    <row r="34" spans="1:9" x14ac:dyDescent="0.2">
      <c r="A34" s="4">
        <v>22</v>
      </c>
      <c r="B34" s="5">
        <v>46814</v>
      </c>
      <c r="C34" s="4">
        <f t="shared" si="0"/>
        <v>29</v>
      </c>
      <c r="D34" s="3">
        <f t="shared" si="3"/>
        <v>962.81807440786827</v>
      </c>
      <c r="E34" s="2">
        <f t="shared" si="5"/>
        <v>126.24537995561148</v>
      </c>
      <c r="F34" s="2">
        <f t="shared" si="4"/>
        <v>836.57269445225677</v>
      </c>
      <c r="G34" s="2">
        <f t="shared" si="6"/>
        <v>26707.87384131752</v>
      </c>
      <c r="H34" s="45">
        <f t="shared" si="1"/>
        <v>0.51960844049255872</v>
      </c>
      <c r="I34" s="46">
        <f t="shared" si="2"/>
        <v>0.48039155950744128</v>
      </c>
    </row>
    <row r="35" spans="1:9" x14ac:dyDescent="0.2">
      <c r="A35" s="4">
        <v>23</v>
      </c>
      <c r="B35" s="5">
        <v>46845</v>
      </c>
      <c r="C35" s="4">
        <f t="shared" si="0"/>
        <v>31</v>
      </c>
      <c r="D35" s="3">
        <f t="shared" si="3"/>
        <v>962.81807440786827</v>
      </c>
      <c r="E35" s="2">
        <f t="shared" si="5"/>
        <v>122.41108843937197</v>
      </c>
      <c r="F35" s="2">
        <f t="shared" si="4"/>
        <v>840.40698596849631</v>
      </c>
      <c r="G35" s="2">
        <f t="shared" si="6"/>
        <v>25867.466855349023</v>
      </c>
      <c r="H35" s="45">
        <f t="shared" si="1"/>
        <v>0.50325811002624554</v>
      </c>
      <c r="I35" s="46">
        <f t="shared" si="2"/>
        <v>0.49674188997375446</v>
      </c>
    </row>
    <row r="36" spans="1:9" x14ac:dyDescent="0.2">
      <c r="A36" s="4">
        <v>24</v>
      </c>
      <c r="B36" s="5">
        <v>46875</v>
      </c>
      <c r="C36" s="4">
        <f t="shared" si="0"/>
        <v>30</v>
      </c>
      <c r="D36" s="3">
        <f t="shared" si="3"/>
        <v>962.81807440786827</v>
      </c>
      <c r="E36" s="2">
        <f t="shared" si="5"/>
        <v>118.55922308701635</v>
      </c>
      <c r="F36" s="2">
        <f t="shared" si="4"/>
        <v>844.25885132085193</v>
      </c>
      <c r="G36" s="2">
        <f t="shared" si="6"/>
        <v>25023.208004028173</v>
      </c>
      <c r="H36" s="45">
        <f t="shared" si="1"/>
        <v>0.48683284054529519</v>
      </c>
      <c r="I36" s="46">
        <f t="shared" si="2"/>
        <v>0.51316715945470481</v>
      </c>
    </row>
    <row r="37" spans="1:9" x14ac:dyDescent="0.2">
      <c r="A37" s="4">
        <v>25</v>
      </c>
      <c r="B37" s="5">
        <v>46906</v>
      </c>
      <c r="C37" s="4">
        <f t="shared" si="0"/>
        <v>31</v>
      </c>
      <c r="D37" s="3">
        <f t="shared" si="3"/>
        <v>962.81807440786827</v>
      </c>
      <c r="E37" s="2">
        <f t="shared" si="5"/>
        <v>114.6897033517958</v>
      </c>
      <c r="F37" s="2">
        <f t="shared" si="4"/>
        <v>848.12837105607241</v>
      </c>
      <c r="G37" s="2">
        <f t="shared" si="6"/>
        <v>24175.079632972102</v>
      </c>
      <c r="H37" s="45">
        <f t="shared" si="1"/>
        <v>0.47033228857922377</v>
      </c>
      <c r="I37" s="46">
        <f t="shared" si="2"/>
        <v>0.52966771142077618</v>
      </c>
    </row>
    <row r="38" spans="1:9" x14ac:dyDescent="0.2">
      <c r="A38" s="4">
        <v>26</v>
      </c>
      <c r="B38" s="5">
        <v>46936</v>
      </c>
      <c r="C38" s="4">
        <f t="shared" si="0"/>
        <v>30</v>
      </c>
      <c r="D38" s="3">
        <f t="shared" si="3"/>
        <v>962.81807440786827</v>
      </c>
      <c r="E38" s="2">
        <f t="shared" si="5"/>
        <v>110.8024483177888</v>
      </c>
      <c r="F38" s="2">
        <f t="shared" si="4"/>
        <v>852.01562609007942</v>
      </c>
      <c r="G38" s="2">
        <f t="shared" si="6"/>
        <v>23323.064006882021</v>
      </c>
      <c r="H38" s="45">
        <f t="shared" si="1"/>
        <v>0.45375610908330782</v>
      </c>
      <c r="I38" s="46">
        <f t="shared" si="2"/>
        <v>0.54624389091669223</v>
      </c>
    </row>
    <row r="39" spans="1:9" x14ac:dyDescent="0.2">
      <c r="A39" s="4">
        <v>27</v>
      </c>
      <c r="B39" s="5">
        <v>46967</v>
      </c>
      <c r="C39" s="4">
        <f t="shared" si="0"/>
        <v>31</v>
      </c>
      <c r="D39" s="3">
        <f t="shared" si="3"/>
        <v>962.81807440786827</v>
      </c>
      <c r="E39" s="2">
        <f t="shared" si="5"/>
        <v>106.89737669820926</v>
      </c>
      <c r="F39" s="2">
        <f t="shared" si="4"/>
        <v>855.92069770965895</v>
      </c>
      <c r="G39" s="2">
        <f t="shared" si="6"/>
        <v>22467.143309172363</v>
      </c>
      <c r="H39" s="45">
        <f t="shared" si="1"/>
        <v>0.43710395543136893</v>
      </c>
      <c r="I39" s="46">
        <f t="shared" si="2"/>
        <v>0.56289604456863107</v>
      </c>
    </row>
    <row r="40" spans="1:9" x14ac:dyDescent="0.2">
      <c r="A40" s="4">
        <v>28</v>
      </c>
      <c r="B40" s="5">
        <v>46998</v>
      </c>
      <c r="C40" s="4">
        <f t="shared" si="0"/>
        <v>31</v>
      </c>
      <c r="D40" s="3">
        <f t="shared" si="3"/>
        <v>962.81807440786827</v>
      </c>
      <c r="E40" s="2">
        <f t="shared" si="5"/>
        <v>102.97440683370667</v>
      </c>
      <c r="F40" s="2">
        <f t="shared" si="4"/>
        <v>859.8436675741616</v>
      </c>
      <c r="G40" s="2">
        <f t="shared" si="6"/>
        <v>21607.299641598202</v>
      </c>
      <c r="H40" s="45">
        <f t="shared" si="1"/>
        <v>0.42037547940852532</v>
      </c>
      <c r="I40" s="46">
        <f t="shared" si="2"/>
        <v>0.57962452059147473</v>
      </c>
    </row>
    <row r="41" spans="1:9" x14ac:dyDescent="0.2">
      <c r="A41" s="4">
        <v>29</v>
      </c>
      <c r="B41" s="5">
        <v>47028</v>
      </c>
      <c r="C41" s="4">
        <f t="shared" si="0"/>
        <v>30</v>
      </c>
      <c r="D41" s="3">
        <f t="shared" si="3"/>
        <v>962.81807440786827</v>
      </c>
      <c r="E41" s="2">
        <f t="shared" si="5"/>
        <v>99.033456690658412</v>
      </c>
      <c r="F41" s="2">
        <f t="shared" si="4"/>
        <v>863.78461771720981</v>
      </c>
      <c r="G41" s="2">
        <f t="shared" si="6"/>
        <v>20743.515023880991</v>
      </c>
      <c r="H41" s="45">
        <f t="shared" si="1"/>
        <v>0.40357033120391034</v>
      </c>
      <c r="I41" s="46">
        <f t="shared" si="2"/>
        <v>0.59642966879608972</v>
      </c>
    </row>
    <row r="42" spans="1:9" x14ac:dyDescent="0.2">
      <c r="A42" s="4">
        <v>30</v>
      </c>
      <c r="B42" s="5">
        <v>47059</v>
      </c>
      <c r="C42" s="4">
        <f t="shared" si="0"/>
        <v>31</v>
      </c>
      <c r="D42" s="3">
        <f t="shared" si="3"/>
        <v>962.81807440786827</v>
      </c>
      <c r="E42" s="2">
        <f t="shared" si="5"/>
        <v>95.074443859454547</v>
      </c>
      <c r="F42" s="2">
        <f t="shared" si="4"/>
        <v>867.74363054841376</v>
      </c>
      <c r="G42" s="2">
        <f t="shared" si="6"/>
        <v>19875.771393332576</v>
      </c>
      <c r="H42" s="45">
        <f t="shared" si="1"/>
        <v>0.38668815940335749</v>
      </c>
      <c r="I42" s="46">
        <f t="shared" si="2"/>
        <v>0.61331184059664245</v>
      </c>
    </row>
    <row r="43" spans="1:9" x14ac:dyDescent="0.2">
      <c r="A43" s="4">
        <v>31</v>
      </c>
      <c r="B43" s="5">
        <v>47089</v>
      </c>
      <c r="C43" s="4">
        <f t="shared" si="0"/>
        <v>30</v>
      </c>
      <c r="D43" s="3">
        <f t="shared" si="3"/>
        <v>962.81807440786827</v>
      </c>
      <c r="E43" s="2">
        <f t="shared" si="5"/>
        <v>91.097285552774295</v>
      </c>
      <c r="F43" s="2">
        <f t="shared" si="4"/>
        <v>871.72078885509393</v>
      </c>
      <c r="G43" s="2">
        <f t="shared" si="6"/>
        <v>19004.050604477481</v>
      </c>
      <c r="H43" s="45">
        <f t="shared" si="1"/>
        <v>0.36972861098205217</v>
      </c>
      <c r="I43" s="46">
        <f t="shared" si="2"/>
        <v>0.63027138901794788</v>
      </c>
    </row>
    <row r="44" spans="1:9" x14ac:dyDescent="0.2">
      <c r="A44" s="4">
        <v>32</v>
      </c>
      <c r="B44" s="5">
        <v>47120</v>
      </c>
      <c r="C44" s="4">
        <f t="shared" si="0"/>
        <v>31</v>
      </c>
      <c r="D44" s="3">
        <f t="shared" si="3"/>
        <v>962.81807440786827</v>
      </c>
      <c r="E44" s="2">
        <f t="shared" si="5"/>
        <v>87.101898603855133</v>
      </c>
      <c r="F44" s="2">
        <f t="shared" si="4"/>
        <v>875.71617580401312</v>
      </c>
      <c r="G44" s="2">
        <f t="shared" si="6"/>
        <v>18128.334428673468</v>
      </c>
      <c r="H44" s="45">
        <f t="shared" si="1"/>
        <v>0.35269133129714919</v>
      </c>
      <c r="I44" s="46">
        <f t="shared" si="2"/>
        <v>0.64730866870285086</v>
      </c>
    </row>
    <row r="45" spans="1:9" x14ac:dyDescent="0.2">
      <c r="A45" s="4">
        <v>33</v>
      </c>
      <c r="B45" s="5">
        <v>47151</v>
      </c>
      <c r="C45" s="4">
        <f t="shared" ref="C45:C76" si="7">B45-B44</f>
        <v>31</v>
      </c>
      <c r="D45" s="3">
        <f t="shared" si="3"/>
        <v>962.81807440786827</v>
      </c>
      <c r="E45" s="2">
        <f t="shared" si="5"/>
        <v>83.088199464753401</v>
      </c>
      <c r="F45" s="2">
        <f t="shared" si="4"/>
        <v>879.72987494311485</v>
      </c>
      <c r="G45" s="2">
        <f t="shared" si="6"/>
        <v>17248.604553730354</v>
      </c>
      <c r="H45" s="45">
        <f t="shared" si="1"/>
        <v>0.33557596408035711</v>
      </c>
      <c r="I45" s="46">
        <f t="shared" si="2"/>
        <v>0.66442403591964294</v>
      </c>
    </row>
    <row r="46" spans="1:9" x14ac:dyDescent="0.2">
      <c r="A46" s="4">
        <v>34</v>
      </c>
      <c r="B46" s="5">
        <v>47179</v>
      </c>
      <c r="C46" s="4">
        <f t="shared" si="7"/>
        <v>28</v>
      </c>
      <c r="D46" s="3">
        <f t="shared" si="3"/>
        <v>962.81807440786827</v>
      </c>
      <c r="E46" s="2">
        <f t="shared" si="5"/>
        <v>79.05610420459746</v>
      </c>
      <c r="F46" s="2">
        <f t="shared" si="4"/>
        <v>883.76197020327083</v>
      </c>
      <c r="G46" s="2">
        <f t="shared" si="6"/>
        <v>16364.842583527083</v>
      </c>
      <c r="H46" s="45">
        <f t="shared" si="1"/>
        <v>0.31838215143048798</v>
      </c>
      <c r="I46" s="46">
        <f t="shared" si="2"/>
        <v>0.68161784856951202</v>
      </c>
    </row>
    <row r="47" spans="1:9" x14ac:dyDescent="0.2">
      <c r="A47" s="4">
        <v>35</v>
      </c>
      <c r="B47" s="5">
        <v>47210</v>
      </c>
      <c r="C47" s="4">
        <f t="shared" si="7"/>
        <v>31</v>
      </c>
      <c r="D47" s="3">
        <f t="shared" si="3"/>
        <v>962.81807440786827</v>
      </c>
      <c r="E47" s="2">
        <f t="shared" si="5"/>
        <v>75.005528507832466</v>
      </c>
      <c r="F47" s="2">
        <f t="shared" si="4"/>
        <v>887.81254590003584</v>
      </c>
      <c r="G47" s="2">
        <f t="shared" si="6"/>
        <v>15477.030037627046</v>
      </c>
      <c r="H47" s="45">
        <f t="shared" si="1"/>
        <v>0.30110953380597366</v>
      </c>
      <c r="I47" s="46">
        <f t="shared" si="2"/>
        <v>0.69889046619402628</v>
      </c>
    </row>
    <row r="48" spans="1:9" x14ac:dyDescent="0.2">
      <c r="A48" s="4">
        <v>36</v>
      </c>
      <c r="B48" s="5">
        <v>47240</v>
      </c>
      <c r="C48" s="4">
        <f t="shared" si="7"/>
        <v>30</v>
      </c>
      <c r="D48" s="3">
        <f t="shared" si="3"/>
        <v>962.81807440786827</v>
      </c>
      <c r="E48" s="2">
        <f t="shared" si="5"/>
        <v>70.936387672457286</v>
      </c>
      <c r="F48" s="2">
        <f t="shared" ref="F48:F79" si="8">D48-E48</f>
        <v>891.88168673541099</v>
      </c>
      <c r="G48" s="2">
        <f t="shared" si="6"/>
        <v>14585.148350891635</v>
      </c>
      <c r="H48" s="45">
        <f t="shared" si="1"/>
        <v>0.28375775001734699</v>
      </c>
      <c r="I48" s="46">
        <f t="shared" si="2"/>
        <v>0.71624224998265307</v>
      </c>
    </row>
    <row r="49" spans="1:9" x14ac:dyDescent="0.2">
      <c r="A49" s="4">
        <v>37</v>
      </c>
      <c r="B49" s="5">
        <v>47271</v>
      </c>
      <c r="C49" s="4">
        <f t="shared" si="7"/>
        <v>31</v>
      </c>
      <c r="D49" s="3">
        <f t="shared" si="3"/>
        <v>962.81807440786827</v>
      </c>
      <c r="E49" s="2">
        <f t="shared" si="5"/>
        <v>66.848596608253331</v>
      </c>
      <c r="F49" s="2">
        <f t="shared" si="8"/>
        <v>895.96947779961488</v>
      </c>
      <c r="G49" s="2">
        <f t="shared" si="6"/>
        <v>13689.17887309202</v>
      </c>
      <c r="H49" s="45">
        <f t="shared" si="1"/>
        <v>0.26632643721968913</v>
      </c>
      <c r="I49" s="46">
        <f t="shared" si="2"/>
        <v>0.73367356278031082</v>
      </c>
    </row>
    <row r="50" spans="1:9" x14ac:dyDescent="0.2">
      <c r="A50" s="4">
        <v>38</v>
      </c>
      <c r="B50" s="5">
        <v>47301</v>
      </c>
      <c r="C50" s="4">
        <f t="shared" si="7"/>
        <v>30</v>
      </c>
      <c r="D50" s="3">
        <f t="shared" si="3"/>
        <v>962.81807440786827</v>
      </c>
      <c r="E50" s="2">
        <f t="shared" si="5"/>
        <v>62.74206983500509</v>
      </c>
      <c r="F50" s="2">
        <f t="shared" si="8"/>
        <v>900.07600457286321</v>
      </c>
      <c r="G50" s="2">
        <f t="shared" si="6"/>
        <v>12789.102868519156</v>
      </c>
      <c r="H50" s="45">
        <f t="shared" si="1"/>
        <v>0.24881523090504196</v>
      </c>
      <c r="I50" s="46">
        <f t="shared" si="2"/>
        <v>0.75118476909495802</v>
      </c>
    </row>
    <row r="51" spans="1:9" x14ac:dyDescent="0.2">
      <c r="A51" s="4">
        <v>39</v>
      </c>
      <c r="B51" s="5">
        <v>47332</v>
      </c>
      <c r="C51" s="4">
        <f t="shared" si="7"/>
        <v>31</v>
      </c>
      <c r="D51" s="3">
        <f t="shared" si="3"/>
        <v>962.81807440786827</v>
      </c>
      <c r="E51" s="2">
        <f t="shared" si="5"/>
        <v>58.616721480712805</v>
      </c>
      <c r="F51" s="2">
        <f t="shared" si="8"/>
        <v>904.20135292715543</v>
      </c>
      <c r="G51" s="2">
        <f t="shared" si="6"/>
        <v>11884.901515592001</v>
      </c>
      <c r="H51" s="45">
        <f t="shared" si="1"/>
        <v>0.23122376489478599</v>
      </c>
      <c r="I51" s="46">
        <f t="shared" si="2"/>
        <v>0.76877623510521398</v>
      </c>
    </row>
    <row r="52" spans="1:9" x14ac:dyDescent="0.2">
      <c r="A52" s="4">
        <v>40</v>
      </c>
      <c r="B52" s="5">
        <v>47363</v>
      </c>
      <c r="C52" s="4">
        <f t="shared" si="7"/>
        <v>31</v>
      </c>
      <c r="D52" s="3">
        <f t="shared" si="3"/>
        <v>962.81807440786827</v>
      </c>
      <c r="E52" s="2">
        <f t="shared" si="5"/>
        <v>54.472465279796666</v>
      </c>
      <c r="F52" s="2">
        <f t="shared" si="8"/>
        <v>908.3456091280716</v>
      </c>
      <c r="G52" s="2">
        <f t="shared" si="6"/>
        <v>10976.555906463929</v>
      </c>
      <c r="H52" s="45">
        <f t="shared" si="1"/>
        <v>0.21355167133198305</v>
      </c>
      <c r="I52" s="46">
        <f t="shared" si="2"/>
        <v>0.78644832866801695</v>
      </c>
    </row>
    <row r="53" spans="1:9" x14ac:dyDescent="0.2">
      <c r="A53" s="4">
        <v>41</v>
      </c>
      <c r="B53" s="5">
        <v>47393</v>
      </c>
      <c r="C53" s="4">
        <f t="shared" si="7"/>
        <v>30</v>
      </c>
      <c r="D53" s="3">
        <f t="shared" si="3"/>
        <v>962.81807440786827</v>
      </c>
      <c r="E53" s="2">
        <f t="shared" si="5"/>
        <v>50.309214571293012</v>
      </c>
      <c r="F53" s="2">
        <f t="shared" si="8"/>
        <v>912.50885983657531</v>
      </c>
      <c r="G53" s="2">
        <f t="shared" si="6"/>
        <v>10064.047046627355</v>
      </c>
      <c r="H53" s="45">
        <f t="shared" si="1"/>
        <v>0.19579858067368394</v>
      </c>
      <c r="I53" s="46">
        <f t="shared" si="2"/>
        <v>0.80420141932631606</v>
      </c>
    </row>
    <row r="54" spans="1:9" x14ac:dyDescent="0.2">
      <c r="A54" s="4">
        <v>42</v>
      </c>
      <c r="B54" s="5">
        <v>47424</v>
      </c>
      <c r="C54" s="4">
        <f t="shared" si="7"/>
        <v>31</v>
      </c>
      <c r="D54" s="3">
        <f t="shared" si="3"/>
        <v>962.81807440786827</v>
      </c>
      <c r="E54" s="2">
        <f t="shared" si="5"/>
        <v>46.126882297042044</v>
      </c>
      <c r="F54" s="2">
        <f t="shared" si="8"/>
        <v>916.69119211082625</v>
      </c>
      <c r="G54" s="2">
        <f t="shared" si="6"/>
        <v>9147.3558545165288</v>
      </c>
      <c r="H54" s="45">
        <f t="shared" si="1"/>
        <v>0.17796412168320094</v>
      </c>
      <c r="I54" s="46">
        <f t="shared" si="2"/>
        <v>0.82203587831679903</v>
      </c>
    </row>
    <row r="55" spans="1:9" x14ac:dyDescent="0.2">
      <c r="A55" s="4">
        <v>43</v>
      </c>
      <c r="B55" s="5">
        <v>47454</v>
      </c>
      <c r="C55" s="4">
        <f t="shared" si="7"/>
        <v>30</v>
      </c>
      <c r="D55" s="3">
        <f t="shared" si="3"/>
        <v>962.81807440786827</v>
      </c>
      <c r="E55" s="2">
        <f t="shared" si="5"/>
        <v>41.925380999867421</v>
      </c>
      <c r="F55" s="2">
        <f t="shared" si="8"/>
        <v>920.89269340800081</v>
      </c>
      <c r="G55" s="2">
        <f t="shared" si="6"/>
        <v>8226.4631611085279</v>
      </c>
      <c r="H55" s="45">
        <f t="shared" si="1"/>
        <v>0.16004792142234489</v>
      </c>
      <c r="I55" s="46">
        <f t="shared" si="2"/>
        <v>0.83995207857765508</v>
      </c>
    </row>
    <row r="56" spans="1:9" x14ac:dyDescent="0.2">
      <c r="A56" s="4">
        <v>44</v>
      </c>
      <c r="B56" s="5">
        <v>47485</v>
      </c>
      <c r="C56" s="4">
        <f t="shared" si="7"/>
        <v>31</v>
      </c>
      <c r="D56" s="3">
        <f t="shared" si="3"/>
        <v>962.81807440786827</v>
      </c>
      <c r="E56" s="2">
        <f t="shared" si="5"/>
        <v>37.704622821747421</v>
      </c>
      <c r="F56" s="2">
        <f t="shared" si="8"/>
        <v>925.11345158612085</v>
      </c>
      <c r="G56" s="2">
        <f t="shared" si="6"/>
        <v>7301.3497095224066</v>
      </c>
      <c r="H56" s="45">
        <f t="shared" si="1"/>
        <v>0.14204960524362659</v>
      </c>
      <c r="I56" s="46">
        <f t="shared" si="2"/>
        <v>0.85795039475637336</v>
      </c>
    </row>
    <row r="57" spans="1:9" x14ac:dyDescent="0.2">
      <c r="A57" s="4">
        <v>45</v>
      </c>
      <c r="B57" s="5">
        <v>47516</v>
      </c>
      <c r="C57" s="4">
        <f t="shared" si="7"/>
        <v>31</v>
      </c>
      <c r="D57" s="3">
        <f t="shared" si="3"/>
        <v>962.81807440786827</v>
      </c>
      <c r="E57" s="2">
        <f t="shared" si="5"/>
        <v>33.464519501977698</v>
      </c>
      <c r="F57" s="2">
        <f t="shared" si="8"/>
        <v>929.35355490589052</v>
      </c>
      <c r="G57" s="2">
        <f t="shared" si="6"/>
        <v>6371.9961546165159</v>
      </c>
      <c r="H57" s="45">
        <f t="shared" si="1"/>
        <v>0.12396879678242249</v>
      </c>
      <c r="I57" s="46">
        <f t="shared" si="2"/>
        <v>0.87603120321757755</v>
      </c>
    </row>
    <row r="58" spans="1:9" x14ac:dyDescent="0.2">
      <c r="A58" s="4">
        <v>46</v>
      </c>
      <c r="B58" s="5">
        <v>47544</v>
      </c>
      <c r="C58" s="4">
        <f t="shared" si="7"/>
        <v>28</v>
      </c>
      <c r="D58" s="3">
        <f t="shared" si="3"/>
        <v>962.81807440786827</v>
      </c>
      <c r="E58" s="2">
        <f t="shared" si="5"/>
        <v>29.204982375325699</v>
      </c>
      <c r="F58" s="2">
        <f t="shared" si="8"/>
        <v>933.61309203254257</v>
      </c>
      <c r="G58" s="2">
        <f t="shared" si="6"/>
        <v>5438.3830625839737</v>
      </c>
      <c r="H58" s="45">
        <f t="shared" si="1"/>
        <v>0.10580511794910455</v>
      </c>
      <c r="I58" s="46">
        <f t="shared" si="2"/>
        <v>0.89419488205089548</v>
      </c>
    </row>
    <row r="59" spans="1:9" x14ac:dyDescent="0.2">
      <c r="A59" s="4">
        <v>47</v>
      </c>
      <c r="B59" s="5">
        <v>47575</v>
      </c>
      <c r="C59" s="4">
        <f t="shared" si="7"/>
        <v>31</v>
      </c>
      <c r="D59" s="3">
        <f t="shared" si="3"/>
        <v>962.81807440786827</v>
      </c>
      <c r="E59" s="2">
        <f t="shared" si="5"/>
        <v>24.925922370176547</v>
      </c>
      <c r="F59" s="2">
        <f t="shared" si="8"/>
        <v>937.89215203769174</v>
      </c>
      <c r="G59" s="2">
        <f t="shared" si="6"/>
        <v>4500.4909105462821</v>
      </c>
      <c r="H59" s="45">
        <f t="shared" si="1"/>
        <v>8.7558188921133887E-2</v>
      </c>
      <c r="I59" s="46">
        <f t="shared" si="2"/>
        <v>0.91244181107886613</v>
      </c>
    </row>
    <row r="60" spans="1:9" x14ac:dyDescent="0.2">
      <c r="A60" s="4">
        <v>48</v>
      </c>
      <c r="B60" s="5">
        <v>47605</v>
      </c>
      <c r="C60" s="4">
        <f t="shared" si="7"/>
        <v>30</v>
      </c>
      <c r="D60" s="3">
        <f t="shared" si="3"/>
        <v>962.81807440786827</v>
      </c>
      <c r="E60" s="2">
        <f t="shared" si="5"/>
        <v>20.627250006670462</v>
      </c>
      <c r="F60" s="2">
        <f t="shared" si="8"/>
        <v>942.1908244011978</v>
      </c>
      <c r="G60" s="2">
        <f t="shared" si="6"/>
        <v>3558.3000861450842</v>
      </c>
      <c r="H60" s="45">
        <f t="shared" si="1"/>
        <v>6.9227628135118374E-2</v>
      </c>
      <c r="I60" s="46">
        <f t="shared" si="2"/>
        <v>0.9307723718648816</v>
      </c>
    </row>
    <row r="61" spans="1:9" x14ac:dyDescent="0.2">
      <c r="A61" s="4">
        <v>49</v>
      </c>
      <c r="B61" s="5">
        <v>47636</v>
      </c>
      <c r="C61" s="4">
        <f t="shared" si="7"/>
        <v>31</v>
      </c>
      <c r="D61" s="3">
        <f t="shared" si="3"/>
        <v>962.81807440786827</v>
      </c>
      <c r="E61" s="2">
        <f t="shared" si="5"/>
        <v>16.308875394831635</v>
      </c>
      <c r="F61" s="2">
        <f t="shared" si="8"/>
        <v>946.50919901303666</v>
      </c>
      <c r="G61" s="2">
        <f t="shared" si="6"/>
        <v>2611.7908871320474</v>
      </c>
      <c r="H61" s="45">
        <f t="shared" si="1"/>
        <v>5.0813052278833606E-2</v>
      </c>
      <c r="I61" s="46">
        <f t="shared" si="2"/>
        <v>0.94918694772116641</v>
      </c>
    </row>
    <row r="62" spans="1:9" x14ac:dyDescent="0.2">
      <c r="A62" s="4">
        <v>50</v>
      </c>
      <c r="B62" s="5">
        <v>47666</v>
      </c>
      <c r="C62" s="4">
        <f t="shared" si="7"/>
        <v>30</v>
      </c>
      <c r="D62" s="3">
        <f t="shared" si="3"/>
        <v>962.81807440786827</v>
      </c>
      <c r="E62" s="2">
        <f t="shared" si="5"/>
        <v>11.970708232688551</v>
      </c>
      <c r="F62" s="2">
        <f t="shared" si="8"/>
        <v>950.84736617517967</v>
      </c>
      <c r="G62" s="2">
        <f t="shared" si="6"/>
        <v>1660.9435209568678</v>
      </c>
      <c r="H62" s="45">
        <f t="shared" si="1"/>
        <v>3.2314076283207545E-2</v>
      </c>
      <c r="I62" s="46">
        <f t="shared" si="2"/>
        <v>0.96768592371679241</v>
      </c>
    </row>
    <row r="63" spans="1:9" x14ac:dyDescent="0.2">
      <c r="A63" s="4">
        <v>51</v>
      </c>
      <c r="B63" s="5">
        <v>47697</v>
      </c>
      <c r="C63" s="4">
        <f t="shared" si="7"/>
        <v>31</v>
      </c>
      <c r="D63" s="3">
        <f t="shared" si="3"/>
        <v>962.81807440786827</v>
      </c>
      <c r="E63" s="2">
        <f t="shared" si="5"/>
        <v>7.6126578043856448</v>
      </c>
      <c r="F63" s="2">
        <f t="shared" si="8"/>
        <v>955.2054166034826</v>
      </c>
      <c r="G63" s="2">
        <f t="shared" si="6"/>
        <v>705.73810435338521</v>
      </c>
      <c r="H63" s="45">
        <f t="shared" si="1"/>
        <v>1.3730313314268194E-2</v>
      </c>
      <c r="I63" s="46">
        <f t="shared" si="2"/>
        <v>0.98626968668573178</v>
      </c>
    </row>
    <row r="64" spans="1:9" x14ac:dyDescent="0.2">
      <c r="A64" s="4">
        <v>52</v>
      </c>
      <c r="B64" s="5">
        <v>47729</v>
      </c>
      <c r="C64" s="4">
        <f t="shared" si="7"/>
        <v>32</v>
      </c>
      <c r="D64" s="3">
        <f>$E$3-254</f>
        <v>708.81807440786827</v>
      </c>
      <c r="E64" s="2">
        <f t="shared" si="5"/>
        <v>3.2346329782863488</v>
      </c>
      <c r="F64" s="2">
        <f t="shared" si="8"/>
        <v>705.58344142958197</v>
      </c>
      <c r="G64" s="2">
        <f t="shared" si="6"/>
        <v>0.15466292380324376</v>
      </c>
      <c r="H64" s="45">
        <f t="shared" si="1"/>
        <v>3.0090062996740032E-6</v>
      </c>
      <c r="I64" s="46">
        <f t="shared" si="2"/>
        <v>0.99999699099370032</v>
      </c>
    </row>
  </sheetData>
  <hyperlinks>
    <hyperlink ref="A1" location="Scenarios!C12" display="Scenario - 4" xr:uid="{7FEBAB5B-6470-0446-BC44-1CBEE79CBCE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B423E-F1A4-9145-8869-4026F1B1D2E4}">
  <dimension ref="A1:I47"/>
  <sheetViews>
    <sheetView zoomScale="133" workbookViewId="0">
      <selection activeCell="B1" sqref="B1"/>
    </sheetView>
  </sheetViews>
  <sheetFormatPr baseColWidth="10" defaultRowHeight="16" x14ac:dyDescent="0.2"/>
  <cols>
    <col min="1" max="1" width="19.5" bestFit="1" customWidth="1"/>
    <col min="2" max="2" width="12.33203125" bestFit="1" customWidth="1"/>
    <col min="4" max="4" width="18.6640625" bestFit="1" customWidth="1"/>
    <col min="5" max="6" width="11" bestFit="1" customWidth="1"/>
    <col min="7" max="7" width="11.33203125" bestFit="1" customWidth="1"/>
  </cols>
  <sheetData>
    <row r="1" spans="1:9" x14ac:dyDescent="0.2">
      <c r="A1" s="30" t="s">
        <v>40</v>
      </c>
      <c r="B1" t="s">
        <v>39</v>
      </c>
    </row>
    <row r="2" spans="1:9" ht="17" x14ac:dyDescent="0.2">
      <c r="A2" s="50" t="s">
        <v>34</v>
      </c>
      <c r="B2" s="5">
        <v>46144</v>
      </c>
      <c r="C2" s="5"/>
      <c r="D2" s="50" t="s">
        <v>33</v>
      </c>
      <c r="E2" s="5">
        <v>46175</v>
      </c>
      <c r="F2" s="1"/>
      <c r="G2" s="1"/>
      <c r="H2" s="1"/>
    </row>
    <row r="3" spans="1:9" ht="17" x14ac:dyDescent="0.2">
      <c r="A3" s="50" t="s">
        <v>31</v>
      </c>
      <c r="B3" s="29">
        <v>0.1</v>
      </c>
      <c r="C3" s="4"/>
      <c r="D3" s="50" t="s">
        <v>30</v>
      </c>
      <c r="E3" s="27">
        <f>PMT(B3/12,B7,-B6)</f>
        <v>25813.749755069988</v>
      </c>
      <c r="F3" s="1"/>
      <c r="G3" s="1"/>
      <c r="H3" s="1"/>
    </row>
    <row r="4" spans="1:9" ht="17" x14ac:dyDescent="0.2">
      <c r="A4" s="50" t="s">
        <v>24</v>
      </c>
      <c r="B4" s="27">
        <v>1000000</v>
      </c>
      <c r="C4" s="4"/>
      <c r="D4" s="50" t="s">
        <v>25</v>
      </c>
      <c r="E4" s="5">
        <v>46153</v>
      </c>
      <c r="F4" s="1"/>
      <c r="G4" s="1"/>
      <c r="H4" s="1"/>
    </row>
    <row r="5" spans="1:9" ht="34" x14ac:dyDescent="0.2">
      <c r="A5" s="50" t="s">
        <v>21</v>
      </c>
      <c r="B5" s="27">
        <f>20%*B4</f>
        <v>200000</v>
      </c>
      <c r="C5" s="4"/>
      <c r="D5" s="50" t="s">
        <v>22</v>
      </c>
      <c r="E5" s="27">
        <v>50000</v>
      </c>
      <c r="F5" s="1"/>
      <c r="G5" s="1"/>
      <c r="H5" s="1"/>
    </row>
    <row r="6" spans="1:9" ht="51" x14ac:dyDescent="0.2">
      <c r="A6" s="50" t="s">
        <v>18</v>
      </c>
      <c r="B6" s="27">
        <f>B4-B5</f>
        <v>800000</v>
      </c>
      <c r="C6" s="4"/>
      <c r="D6" s="50" t="s">
        <v>20</v>
      </c>
      <c r="E6" s="4" t="s">
        <v>19</v>
      </c>
      <c r="F6" s="1"/>
      <c r="G6" s="1"/>
      <c r="H6" s="1"/>
    </row>
    <row r="7" spans="1:9" ht="17" x14ac:dyDescent="0.2">
      <c r="A7" s="50" t="s">
        <v>15</v>
      </c>
      <c r="B7" s="4">
        <v>36</v>
      </c>
      <c r="C7" s="25" t="s">
        <v>14</v>
      </c>
      <c r="D7" s="4"/>
      <c r="E7" s="4"/>
      <c r="F7" s="1"/>
      <c r="G7" s="1"/>
      <c r="H7" s="1"/>
    </row>
    <row r="8" spans="1:9" x14ac:dyDescent="0.2">
      <c r="A8" s="1"/>
      <c r="B8" s="1"/>
      <c r="C8" s="1"/>
      <c r="D8" s="1"/>
      <c r="E8" s="1"/>
      <c r="F8" s="1"/>
      <c r="G8" s="1"/>
      <c r="H8" s="1"/>
    </row>
    <row r="9" spans="1:9" x14ac:dyDescent="0.2">
      <c r="A9" s="1"/>
      <c r="B9" s="1"/>
      <c r="C9" s="1"/>
      <c r="D9" s="1"/>
      <c r="E9" s="1"/>
      <c r="F9" s="1"/>
      <c r="G9" s="1"/>
      <c r="H9" s="1"/>
    </row>
    <row r="10" spans="1:9" x14ac:dyDescent="0.2">
      <c r="A10" s="1"/>
      <c r="B10" s="1"/>
      <c r="C10" s="1"/>
      <c r="D10" s="1"/>
      <c r="E10" s="1"/>
      <c r="F10" s="1"/>
      <c r="G10" s="1"/>
      <c r="H10" s="1"/>
    </row>
    <row r="11" spans="1:9" ht="34" x14ac:dyDescent="0.2">
      <c r="A11" s="50" t="s">
        <v>6</v>
      </c>
      <c r="B11" s="50" t="s">
        <v>5</v>
      </c>
      <c r="C11" s="50" t="s">
        <v>4</v>
      </c>
      <c r="D11" s="50" t="s">
        <v>3</v>
      </c>
      <c r="E11" s="50" t="s">
        <v>2</v>
      </c>
      <c r="F11" s="50" t="s">
        <v>1</v>
      </c>
      <c r="G11" s="50" t="s">
        <v>0</v>
      </c>
      <c r="H11" s="50" t="s">
        <v>70</v>
      </c>
      <c r="I11" s="50" t="s">
        <v>71</v>
      </c>
    </row>
    <row r="12" spans="1:9" x14ac:dyDescent="0.2">
      <c r="A12" s="4">
        <v>0</v>
      </c>
      <c r="B12" s="5">
        <f>'Disbursement and due date same'!$C$2</f>
        <v>46144</v>
      </c>
      <c r="C12" s="4"/>
      <c r="D12" s="4"/>
      <c r="E12" s="4"/>
      <c r="F12" s="4"/>
      <c r="G12" s="12">
        <f>B6</f>
        <v>800000</v>
      </c>
      <c r="H12" s="49">
        <f>G12/$B$4</f>
        <v>0.8</v>
      </c>
      <c r="I12" s="46">
        <f>1-H12</f>
        <v>0.19999999999999996</v>
      </c>
    </row>
    <row r="13" spans="1:9" x14ac:dyDescent="0.2">
      <c r="A13" s="15">
        <v>1</v>
      </c>
      <c r="B13" s="16">
        <v>46153</v>
      </c>
      <c r="C13" s="15">
        <f t="shared" ref="C13:C47" si="0">B13-B12</f>
        <v>9</v>
      </c>
      <c r="D13" s="23">
        <v>50000</v>
      </c>
      <c r="E13" s="22">
        <f>G12*B3/12*C13/30</f>
        <v>2000</v>
      </c>
      <c r="F13" s="22">
        <f t="shared" ref="F13:F47" si="1">D13-E13</f>
        <v>48000</v>
      </c>
      <c r="G13" s="21">
        <f t="shared" ref="G13:G47" si="2">G12-F13</f>
        <v>752000</v>
      </c>
      <c r="H13" s="49">
        <f t="shared" ref="H13:H47" si="3">G13/$B$4</f>
        <v>0.752</v>
      </c>
      <c r="I13" s="46">
        <f t="shared" ref="I13:I47" si="4">1-H13</f>
        <v>0.248</v>
      </c>
    </row>
    <row r="14" spans="1:9" x14ac:dyDescent="0.2">
      <c r="A14" s="15">
        <v>1</v>
      </c>
      <c r="B14" s="16">
        <v>46175</v>
      </c>
      <c r="C14" s="15">
        <f t="shared" si="0"/>
        <v>22</v>
      </c>
      <c r="D14" s="27">
        <f t="shared" ref="D14:D46" si="5">$E$3</f>
        <v>25813.749755069988</v>
      </c>
      <c r="E14" s="51">
        <f>$G13*$B$3/12*$C14/30</f>
        <v>4595.5555555555566</v>
      </c>
      <c r="F14" s="51">
        <f t="shared" si="1"/>
        <v>21218.19419951443</v>
      </c>
      <c r="G14" s="51">
        <f t="shared" si="2"/>
        <v>730781.80580048554</v>
      </c>
      <c r="H14" s="49">
        <f t="shared" si="3"/>
        <v>0.73078180580048557</v>
      </c>
      <c r="I14" s="46">
        <f t="shared" si="4"/>
        <v>0.26921819419951443</v>
      </c>
    </row>
    <row r="15" spans="1:9" x14ac:dyDescent="0.2">
      <c r="A15" s="4">
        <v>2</v>
      </c>
      <c r="B15" s="5">
        <v>46205</v>
      </c>
      <c r="C15" s="4">
        <f t="shared" si="0"/>
        <v>30</v>
      </c>
      <c r="D15" s="27">
        <f t="shared" si="5"/>
        <v>25813.749755069988</v>
      </c>
      <c r="E15" s="27">
        <f t="shared" ref="E15:E47" si="6">G14*$B$3/12</f>
        <v>6089.848381670713</v>
      </c>
      <c r="F15" s="27">
        <f t="shared" si="1"/>
        <v>19723.901373399276</v>
      </c>
      <c r="G15" s="27">
        <f t="shared" si="2"/>
        <v>711057.90442708624</v>
      </c>
      <c r="H15" s="49">
        <f t="shared" si="3"/>
        <v>0.71105790442708627</v>
      </c>
      <c r="I15" s="46">
        <f t="shared" si="4"/>
        <v>0.28894209557291373</v>
      </c>
    </row>
    <row r="16" spans="1:9" x14ac:dyDescent="0.2">
      <c r="A16" s="4">
        <v>3</v>
      </c>
      <c r="B16" s="5">
        <v>46236</v>
      </c>
      <c r="C16" s="4">
        <f t="shared" si="0"/>
        <v>31</v>
      </c>
      <c r="D16" s="27">
        <f t="shared" si="5"/>
        <v>25813.749755069988</v>
      </c>
      <c r="E16" s="27">
        <f t="shared" si="6"/>
        <v>5925.4825368923857</v>
      </c>
      <c r="F16" s="27">
        <f t="shared" si="1"/>
        <v>19888.267218177603</v>
      </c>
      <c r="G16" s="27">
        <f t="shared" si="2"/>
        <v>691169.63720890868</v>
      </c>
      <c r="H16" s="49">
        <f t="shared" si="3"/>
        <v>0.69116963720890867</v>
      </c>
      <c r="I16" s="46">
        <f t="shared" si="4"/>
        <v>0.30883036279109133</v>
      </c>
    </row>
    <row r="17" spans="1:9" x14ac:dyDescent="0.2">
      <c r="A17" s="4">
        <v>4</v>
      </c>
      <c r="B17" s="5">
        <v>46267</v>
      </c>
      <c r="C17" s="4">
        <f t="shared" si="0"/>
        <v>31</v>
      </c>
      <c r="D17" s="27">
        <f t="shared" si="5"/>
        <v>25813.749755069988</v>
      </c>
      <c r="E17" s="27">
        <f t="shared" si="6"/>
        <v>5759.7469767409057</v>
      </c>
      <c r="F17" s="27">
        <f t="shared" si="1"/>
        <v>20054.002778329083</v>
      </c>
      <c r="G17" s="27">
        <f t="shared" si="2"/>
        <v>671115.63443057961</v>
      </c>
      <c r="H17" s="49">
        <f t="shared" si="3"/>
        <v>0.67111563443057964</v>
      </c>
      <c r="I17" s="46">
        <f t="shared" si="4"/>
        <v>0.32888436556942036</v>
      </c>
    </row>
    <row r="18" spans="1:9" x14ac:dyDescent="0.2">
      <c r="A18" s="4">
        <v>5</v>
      </c>
      <c r="B18" s="5">
        <v>46297</v>
      </c>
      <c r="C18" s="4">
        <f t="shared" si="0"/>
        <v>30</v>
      </c>
      <c r="D18" s="27">
        <f t="shared" si="5"/>
        <v>25813.749755069988</v>
      </c>
      <c r="E18" s="27">
        <f t="shared" si="6"/>
        <v>5592.6302869214969</v>
      </c>
      <c r="F18" s="27">
        <f t="shared" si="1"/>
        <v>20221.119468148492</v>
      </c>
      <c r="G18" s="27">
        <f t="shared" si="2"/>
        <v>650894.51496243116</v>
      </c>
      <c r="H18" s="49">
        <f t="shared" si="3"/>
        <v>0.65089451496243111</v>
      </c>
      <c r="I18" s="46">
        <f t="shared" si="4"/>
        <v>0.34910548503756889</v>
      </c>
    </row>
    <row r="19" spans="1:9" x14ac:dyDescent="0.2">
      <c r="A19" s="4">
        <v>6</v>
      </c>
      <c r="B19" s="5">
        <v>46328</v>
      </c>
      <c r="C19" s="4">
        <f t="shared" si="0"/>
        <v>31</v>
      </c>
      <c r="D19" s="27">
        <f t="shared" si="5"/>
        <v>25813.749755069988</v>
      </c>
      <c r="E19" s="27">
        <f t="shared" si="6"/>
        <v>5424.1209580202603</v>
      </c>
      <c r="F19" s="27">
        <f t="shared" si="1"/>
        <v>20389.628797049729</v>
      </c>
      <c r="G19" s="27">
        <f t="shared" si="2"/>
        <v>630504.88616538141</v>
      </c>
      <c r="H19" s="49">
        <f t="shared" si="3"/>
        <v>0.63050488616538136</v>
      </c>
      <c r="I19" s="46">
        <f t="shared" si="4"/>
        <v>0.36949511383461864</v>
      </c>
    </row>
    <row r="20" spans="1:9" x14ac:dyDescent="0.2">
      <c r="A20" s="4">
        <v>7</v>
      </c>
      <c r="B20" s="5">
        <v>46358</v>
      </c>
      <c r="C20" s="4">
        <f t="shared" si="0"/>
        <v>30</v>
      </c>
      <c r="D20" s="27">
        <f t="shared" si="5"/>
        <v>25813.749755069988</v>
      </c>
      <c r="E20" s="27">
        <f t="shared" si="6"/>
        <v>5254.2073847115125</v>
      </c>
      <c r="F20" s="27">
        <f t="shared" si="1"/>
        <v>20559.542370358475</v>
      </c>
      <c r="G20" s="27">
        <f t="shared" si="2"/>
        <v>609945.34379502293</v>
      </c>
      <c r="H20" s="49">
        <f t="shared" si="3"/>
        <v>0.60994534379502297</v>
      </c>
      <c r="I20" s="46">
        <f t="shared" si="4"/>
        <v>0.39005465620497703</v>
      </c>
    </row>
    <row r="21" spans="1:9" x14ac:dyDescent="0.2">
      <c r="A21" s="4">
        <v>8</v>
      </c>
      <c r="B21" s="5">
        <v>46389</v>
      </c>
      <c r="C21" s="4">
        <f t="shared" si="0"/>
        <v>31</v>
      </c>
      <c r="D21" s="27">
        <f t="shared" si="5"/>
        <v>25813.749755069988</v>
      </c>
      <c r="E21" s="27">
        <f t="shared" si="6"/>
        <v>5082.8778649585247</v>
      </c>
      <c r="F21" s="27">
        <f t="shared" si="1"/>
        <v>20730.871890111463</v>
      </c>
      <c r="G21" s="27">
        <f t="shared" si="2"/>
        <v>589214.47190491145</v>
      </c>
      <c r="H21" s="49">
        <f t="shared" si="3"/>
        <v>0.5892144719049115</v>
      </c>
      <c r="I21" s="46">
        <f t="shared" si="4"/>
        <v>0.4107855280950885</v>
      </c>
    </row>
    <row r="22" spans="1:9" x14ac:dyDescent="0.2">
      <c r="A22" s="4">
        <v>9</v>
      </c>
      <c r="B22" s="5">
        <v>46420</v>
      </c>
      <c r="C22" s="4">
        <f t="shared" si="0"/>
        <v>31</v>
      </c>
      <c r="D22" s="27">
        <f t="shared" si="5"/>
        <v>25813.749755069988</v>
      </c>
      <c r="E22" s="27">
        <f t="shared" si="6"/>
        <v>4910.1205992075957</v>
      </c>
      <c r="F22" s="27">
        <f t="shared" si="1"/>
        <v>20903.629155862393</v>
      </c>
      <c r="G22" s="27">
        <f t="shared" si="2"/>
        <v>568310.84274904907</v>
      </c>
      <c r="H22" s="49">
        <f t="shared" si="3"/>
        <v>0.56831084274904908</v>
      </c>
      <c r="I22" s="46">
        <f t="shared" si="4"/>
        <v>0.43168915725095092</v>
      </c>
    </row>
    <row r="23" spans="1:9" x14ac:dyDescent="0.2">
      <c r="A23" s="4">
        <v>10</v>
      </c>
      <c r="B23" s="5">
        <v>46448</v>
      </c>
      <c r="C23" s="4">
        <f t="shared" si="0"/>
        <v>28</v>
      </c>
      <c r="D23" s="27">
        <f t="shared" si="5"/>
        <v>25813.749755069988</v>
      </c>
      <c r="E23" s="27">
        <f t="shared" si="6"/>
        <v>4735.9236895754093</v>
      </c>
      <c r="F23" s="27">
        <f t="shared" si="1"/>
        <v>21077.826065494577</v>
      </c>
      <c r="G23" s="27">
        <f t="shared" si="2"/>
        <v>547233.01668355451</v>
      </c>
      <c r="H23" s="49">
        <f t="shared" si="3"/>
        <v>0.54723301668355451</v>
      </c>
      <c r="I23" s="46">
        <f t="shared" si="4"/>
        <v>0.45276698331644549</v>
      </c>
    </row>
    <row r="24" spans="1:9" x14ac:dyDescent="0.2">
      <c r="A24" s="4">
        <v>11</v>
      </c>
      <c r="B24" s="5">
        <v>46479</v>
      </c>
      <c r="C24" s="4">
        <f t="shared" si="0"/>
        <v>31</v>
      </c>
      <c r="D24" s="27">
        <f t="shared" si="5"/>
        <v>25813.749755069988</v>
      </c>
      <c r="E24" s="27">
        <f t="shared" si="6"/>
        <v>4560.2751390296207</v>
      </c>
      <c r="F24" s="27">
        <f t="shared" si="1"/>
        <v>21253.474616040367</v>
      </c>
      <c r="G24" s="27">
        <f t="shared" si="2"/>
        <v>525979.54206751415</v>
      </c>
      <c r="H24" s="49">
        <f t="shared" si="3"/>
        <v>0.52597954206751418</v>
      </c>
      <c r="I24" s="46">
        <f t="shared" si="4"/>
        <v>0.47402045793248582</v>
      </c>
    </row>
    <row r="25" spans="1:9" x14ac:dyDescent="0.2">
      <c r="A25" s="4">
        <v>12</v>
      </c>
      <c r="B25" s="5">
        <v>46509</v>
      </c>
      <c r="C25" s="4">
        <f t="shared" si="0"/>
        <v>30</v>
      </c>
      <c r="D25" s="27">
        <f t="shared" si="5"/>
        <v>25813.749755069988</v>
      </c>
      <c r="E25" s="27">
        <f t="shared" si="6"/>
        <v>4383.1628505626186</v>
      </c>
      <c r="F25" s="27">
        <f t="shared" si="1"/>
        <v>21430.58690450737</v>
      </c>
      <c r="G25" s="27">
        <f t="shared" si="2"/>
        <v>504548.95516300679</v>
      </c>
      <c r="H25" s="49">
        <f t="shared" si="3"/>
        <v>0.5045489551630068</v>
      </c>
      <c r="I25" s="46">
        <f t="shared" si="4"/>
        <v>0.4954510448369932</v>
      </c>
    </row>
    <row r="26" spans="1:9" x14ac:dyDescent="0.2">
      <c r="A26" s="4">
        <v>13</v>
      </c>
      <c r="B26" s="5">
        <v>46540</v>
      </c>
      <c r="C26" s="4">
        <f t="shared" si="0"/>
        <v>31</v>
      </c>
      <c r="D26" s="27">
        <f t="shared" si="5"/>
        <v>25813.749755069988</v>
      </c>
      <c r="E26" s="27">
        <f t="shared" si="6"/>
        <v>4204.5746263583906</v>
      </c>
      <c r="F26" s="27">
        <f t="shared" si="1"/>
        <v>21609.175128711599</v>
      </c>
      <c r="G26" s="27">
        <f t="shared" si="2"/>
        <v>482939.78003429517</v>
      </c>
      <c r="H26" s="49">
        <f t="shared" si="3"/>
        <v>0.48293978003429516</v>
      </c>
      <c r="I26" s="46">
        <f t="shared" si="4"/>
        <v>0.51706021996570484</v>
      </c>
    </row>
    <row r="27" spans="1:9" x14ac:dyDescent="0.2">
      <c r="A27" s="4">
        <v>14</v>
      </c>
      <c r="B27" s="5">
        <v>46570</v>
      </c>
      <c r="C27" s="4">
        <f t="shared" si="0"/>
        <v>30</v>
      </c>
      <c r="D27" s="27">
        <f t="shared" si="5"/>
        <v>25813.749755069988</v>
      </c>
      <c r="E27" s="27">
        <f t="shared" si="6"/>
        <v>4024.49816695246</v>
      </c>
      <c r="F27" s="27">
        <f t="shared" si="1"/>
        <v>21789.251588117528</v>
      </c>
      <c r="G27" s="27">
        <f t="shared" si="2"/>
        <v>461150.52844617766</v>
      </c>
      <c r="H27" s="49">
        <f t="shared" si="3"/>
        <v>0.46115052844617765</v>
      </c>
      <c r="I27" s="46">
        <f t="shared" si="4"/>
        <v>0.53884947155382235</v>
      </c>
    </row>
    <row r="28" spans="1:9" x14ac:dyDescent="0.2">
      <c r="A28" s="4">
        <v>15</v>
      </c>
      <c r="B28" s="5">
        <v>46601</v>
      </c>
      <c r="C28" s="4">
        <f t="shared" si="0"/>
        <v>31</v>
      </c>
      <c r="D28" s="27">
        <f t="shared" si="5"/>
        <v>25813.749755069988</v>
      </c>
      <c r="E28" s="27">
        <f t="shared" si="6"/>
        <v>3842.9210703848144</v>
      </c>
      <c r="F28" s="27">
        <f t="shared" si="1"/>
        <v>21970.828684685173</v>
      </c>
      <c r="G28" s="27">
        <f t="shared" si="2"/>
        <v>439179.69976149249</v>
      </c>
      <c r="H28" s="49">
        <f t="shared" si="3"/>
        <v>0.43917969976149251</v>
      </c>
      <c r="I28" s="46">
        <f t="shared" si="4"/>
        <v>0.56082030023850749</v>
      </c>
    </row>
    <row r="29" spans="1:9" x14ac:dyDescent="0.2">
      <c r="A29" s="4">
        <v>16</v>
      </c>
      <c r="B29" s="5">
        <v>46632</v>
      </c>
      <c r="C29" s="4">
        <f t="shared" si="0"/>
        <v>31</v>
      </c>
      <c r="D29" s="27">
        <f t="shared" si="5"/>
        <v>25813.749755069988</v>
      </c>
      <c r="E29" s="27">
        <f t="shared" si="6"/>
        <v>3659.830831345771</v>
      </c>
      <c r="F29" s="27">
        <f t="shared" si="1"/>
        <v>22153.918923724217</v>
      </c>
      <c r="G29" s="27">
        <f t="shared" si="2"/>
        <v>417025.78083776828</v>
      </c>
      <c r="H29" s="49">
        <f t="shared" si="3"/>
        <v>0.41702578083776826</v>
      </c>
      <c r="I29" s="46">
        <f t="shared" si="4"/>
        <v>0.5829742191622318</v>
      </c>
    </row>
    <row r="30" spans="1:9" x14ac:dyDescent="0.2">
      <c r="A30" s="4">
        <v>17</v>
      </c>
      <c r="B30" s="5">
        <v>46662</v>
      </c>
      <c r="C30" s="4">
        <f t="shared" si="0"/>
        <v>30</v>
      </c>
      <c r="D30" s="27">
        <f t="shared" si="5"/>
        <v>25813.749755069988</v>
      </c>
      <c r="E30" s="27">
        <f t="shared" si="6"/>
        <v>3475.2148403147362</v>
      </c>
      <c r="F30" s="27">
        <f t="shared" si="1"/>
        <v>22338.534914755252</v>
      </c>
      <c r="G30" s="27">
        <f t="shared" si="2"/>
        <v>394687.24592301302</v>
      </c>
      <c r="H30" s="49">
        <f t="shared" si="3"/>
        <v>0.39468724592301302</v>
      </c>
      <c r="I30" s="46">
        <f t="shared" si="4"/>
        <v>0.60531275407698693</v>
      </c>
    </row>
    <row r="31" spans="1:9" x14ac:dyDescent="0.2">
      <c r="A31" s="4">
        <v>18</v>
      </c>
      <c r="B31" s="5">
        <v>46693</v>
      </c>
      <c r="C31" s="4">
        <f t="shared" si="0"/>
        <v>31</v>
      </c>
      <c r="D31" s="27">
        <f t="shared" si="5"/>
        <v>25813.749755069988</v>
      </c>
      <c r="E31" s="27">
        <f t="shared" si="6"/>
        <v>3289.0603826917754</v>
      </c>
      <c r="F31" s="27">
        <f t="shared" si="1"/>
        <v>22524.689372378212</v>
      </c>
      <c r="G31" s="27">
        <f t="shared" si="2"/>
        <v>372162.55655063479</v>
      </c>
      <c r="H31" s="49">
        <f t="shared" si="3"/>
        <v>0.37216255655063479</v>
      </c>
      <c r="I31" s="46">
        <f t="shared" si="4"/>
        <v>0.62783744344936521</v>
      </c>
    </row>
    <row r="32" spans="1:9" x14ac:dyDescent="0.2">
      <c r="A32" s="4">
        <v>19</v>
      </c>
      <c r="B32" s="5">
        <v>46723</v>
      </c>
      <c r="C32" s="4">
        <f t="shared" si="0"/>
        <v>30</v>
      </c>
      <c r="D32" s="27">
        <f t="shared" si="5"/>
        <v>25813.749755069988</v>
      </c>
      <c r="E32" s="27">
        <f t="shared" si="6"/>
        <v>3101.354637921957</v>
      </c>
      <c r="F32" s="27">
        <f t="shared" si="1"/>
        <v>22712.395117148029</v>
      </c>
      <c r="G32" s="27">
        <f t="shared" si="2"/>
        <v>349450.16143348673</v>
      </c>
      <c r="H32" s="49">
        <f t="shared" si="3"/>
        <v>0.34945016143348673</v>
      </c>
      <c r="I32" s="46">
        <f t="shared" si="4"/>
        <v>0.65054983856651327</v>
      </c>
    </row>
    <row r="33" spans="1:9" x14ac:dyDescent="0.2">
      <c r="A33" s="4">
        <v>20</v>
      </c>
      <c r="B33" s="5">
        <v>46754</v>
      </c>
      <c r="C33" s="4">
        <f t="shared" si="0"/>
        <v>31</v>
      </c>
      <c r="D33" s="27">
        <f t="shared" si="5"/>
        <v>25813.749755069988</v>
      </c>
      <c r="E33" s="27">
        <f t="shared" si="6"/>
        <v>2912.0846786123893</v>
      </c>
      <c r="F33" s="27">
        <f t="shared" si="1"/>
        <v>22901.665076457597</v>
      </c>
      <c r="G33" s="27">
        <f t="shared" si="2"/>
        <v>326548.49635702913</v>
      </c>
      <c r="H33" s="49">
        <f t="shared" si="3"/>
        <v>0.32654849635702915</v>
      </c>
      <c r="I33" s="46">
        <f t="shared" si="4"/>
        <v>0.67345150364297091</v>
      </c>
    </row>
    <row r="34" spans="1:9" x14ac:dyDescent="0.2">
      <c r="A34" s="4">
        <v>21</v>
      </c>
      <c r="B34" s="5">
        <v>46785</v>
      </c>
      <c r="C34" s="4">
        <f t="shared" si="0"/>
        <v>31</v>
      </c>
      <c r="D34" s="27">
        <f t="shared" si="5"/>
        <v>25813.749755069988</v>
      </c>
      <c r="E34" s="27">
        <f t="shared" si="6"/>
        <v>2721.2374696419097</v>
      </c>
      <c r="F34" s="27">
        <f t="shared" si="1"/>
        <v>23092.512285428078</v>
      </c>
      <c r="G34" s="27">
        <f t="shared" si="2"/>
        <v>303455.98407160107</v>
      </c>
      <c r="H34" s="49">
        <f t="shared" si="3"/>
        <v>0.30345598407160107</v>
      </c>
      <c r="I34" s="46">
        <f t="shared" si="4"/>
        <v>0.69654401592839887</v>
      </c>
    </row>
    <row r="35" spans="1:9" x14ac:dyDescent="0.2">
      <c r="A35" s="4">
        <v>22</v>
      </c>
      <c r="B35" s="5">
        <v>46814</v>
      </c>
      <c r="C35" s="4">
        <f t="shared" si="0"/>
        <v>29</v>
      </c>
      <c r="D35" s="27">
        <f t="shared" si="5"/>
        <v>25813.749755069988</v>
      </c>
      <c r="E35" s="27">
        <f t="shared" si="6"/>
        <v>2528.7998672633425</v>
      </c>
      <c r="F35" s="27">
        <f t="shared" si="1"/>
        <v>23284.949887806644</v>
      </c>
      <c r="G35" s="27">
        <f t="shared" si="2"/>
        <v>280171.0341837944</v>
      </c>
      <c r="H35" s="49">
        <f t="shared" si="3"/>
        <v>0.28017103418379441</v>
      </c>
      <c r="I35" s="46">
        <f t="shared" si="4"/>
        <v>0.71982896581620559</v>
      </c>
    </row>
    <row r="36" spans="1:9" x14ac:dyDescent="0.2">
      <c r="A36" s="4">
        <v>23</v>
      </c>
      <c r="B36" s="5">
        <v>46845</v>
      </c>
      <c r="C36" s="4">
        <f t="shared" si="0"/>
        <v>31</v>
      </c>
      <c r="D36" s="27">
        <f t="shared" si="5"/>
        <v>25813.749755069988</v>
      </c>
      <c r="E36" s="27">
        <f t="shared" si="6"/>
        <v>2334.7586181982865</v>
      </c>
      <c r="F36" s="27">
        <f t="shared" si="1"/>
        <v>23478.9911368717</v>
      </c>
      <c r="G36" s="27">
        <f t="shared" si="2"/>
        <v>256692.04304692271</v>
      </c>
      <c r="H36" s="49">
        <f t="shared" si="3"/>
        <v>0.25669204304692272</v>
      </c>
      <c r="I36" s="46">
        <f t="shared" si="4"/>
        <v>0.74330795695307728</v>
      </c>
    </row>
    <row r="37" spans="1:9" x14ac:dyDescent="0.2">
      <c r="A37" s="4">
        <v>24</v>
      </c>
      <c r="B37" s="5">
        <v>46875</v>
      </c>
      <c r="C37" s="4">
        <f t="shared" si="0"/>
        <v>30</v>
      </c>
      <c r="D37" s="27">
        <f t="shared" si="5"/>
        <v>25813.749755069988</v>
      </c>
      <c r="E37" s="27">
        <f t="shared" si="6"/>
        <v>2139.1003587243563</v>
      </c>
      <c r="F37" s="27">
        <f t="shared" si="1"/>
        <v>23674.649396345631</v>
      </c>
      <c r="G37" s="27">
        <f t="shared" si="2"/>
        <v>233017.39365057708</v>
      </c>
      <c r="H37" s="49">
        <f t="shared" si="3"/>
        <v>0.23301739365057708</v>
      </c>
      <c r="I37" s="46">
        <f t="shared" si="4"/>
        <v>0.76698260634942295</v>
      </c>
    </row>
    <row r="38" spans="1:9" x14ac:dyDescent="0.2">
      <c r="A38" s="4">
        <v>25</v>
      </c>
      <c r="B38" s="5">
        <v>46906</v>
      </c>
      <c r="C38" s="4">
        <f t="shared" si="0"/>
        <v>31</v>
      </c>
      <c r="D38" s="27">
        <f t="shared" si="5"/>
        <v>25813.749755069988</v>
      </c>
      <c r="E38" s="27">
        <f t="shared" si="6"/>
        <v>1941.8116137548093</v>
      </c>
      <c r="F38" s="27">
        <f t="shared" si="1"/>
        <v>23871.938141315179</v>
      </c>
      <c r="G38" s="27">
        <f t="shared" si="2"/>
        <v>209145.4555092619</v>
      </c>
      <c r="H38" s="49">
        <f t="shared" si="3"/>
        <v>0.20914545550926189</v>
      </c>
      <c r="I38" s="46">
        <f t="shared" si="4"/>
        <v>0.79085454449073811</v>
      </c>
    </row>
    <row r="39" spans="1:9" x14ac:dyDescent="0.2">
      <c r="A39" s="4">
        <v>26</v>
      </c>
      <c r="B39" s="5">
        <v>46936</v>
      </c>
      <c r="C39" s="4">
        <f t="shared" si="0"/>
        <v>30</v>
      </c>
      <c r="D39" s="27">
        <f t="shared" si="5"/>
        <v>25813.749755069988</v>
      </c>
      <c r="E39" s="27">
        <f t="shared" si="6"/>
        <v>1742.8787959105159</v>
      </c>
      <c r="F39" s="27">
        <f t="shared" si="1"/>
        <v>24070.870959159471</v>
      </c>
      <c r="G39" s="27">
        <f t="shared" si="2"/>
        <v>185074.58455010242</v>
      </c>
      <c r="H39" s="49">
        <f t="shared" si="3"/>
        <v>0.18507458455010242</v>
      </c>
      <c r="I39" s="46">
        <f t="shared" si="4"/>
        <v>0.81492541544989761</v>
      </c>
    </row>
    <row r="40" spans="1:9" x14ac:dyDescent="0.2">
      <c r="A40" s="4">
        <v>27</v>
      </c>
      <c r="B40" s="5">
        <v>46967</v>
      </c>
      <c r="C40" s="4">
        <f t="shared" si="0"/>
        <v>31</v>
      </c>
      <c r="D40" s="27">
        <f t="shared" si="5"/>
        <v>25813.749755069988</v>
      </c>
      <c r="E40" s="27">
        <f t="shared" si="6"/>
        <v>1542.2882045841868</v>
      </c>
      <c r="F40" s="27">
        <f t="shared" si="1"/>
        <v>24271.461550485801</v>
      </c>
      <c r="G40" s="27">
        <f t="shared" si="2"/>
        <v>160803.12299961661</v>
      </c>
      <c r="H40" s="49">
        <f t="shared" si="3"/>
        <v>0.1608031229996166</v>
      </c>
      <c r="I40" s="46">
        <f t="shared" si="4"/>
        <v>0.83919687700038337</v>
      </c>
    </row>
    <row r="41" spans="1:9" x14ac:dyDescent="0.2">
      <c r="A41" s="4">
        <v>28</v>
      </c>
      <c r="B41" s="5">
        <v>46998</v>
      </c>
      <c r="C41" s="4">
        <f t="shared" si="0"/>
        <v>31</v>
      </c>
      <c r="D41" s="27">
        <f t="shared" si="5"/>
        <v>25813.749755069988</v>
      </c>
      <c r="E41" s="27">
        <f t="shared" si="6"/>
        <v>1340.0260249968051</v>
      </c>
      <c r="F41" s="27">
        <f t="shared" si="1"/>
        <v>24473.723730073183</v>
      </c>
      <c r="G41" s="27">
        <f t="shared" si="2"/>
        <v>136329.39926954341</v>
      </c>
      <c r="H41" s="49">
        <f t="shared" si="3"/>
        <v>0.13632939926954341</v>
      </c>
      <c r="I41" s="46">
        <f t="shared" si="4"/>
        <v>0.86367060073045665</v>
      </c>
    </row>
    <row r="42" spans="1:9" x14ac:dyDescent="0.2">
      <c r="A42" s="4">
        <v>29</v>
      </c>
      <c r="B42" s="5">
        <v>47028</v>
      </c>
      <c r="C42" s="4">
        <f t="shared" si="0"/>
        <v>30</v>
      </c>
      <c r="D42" s="27">
        <f t="shared" si="5"/>
        <v>25813.749755069988</v>
      </c>
      <c r="E42" s="27">
        <f t="shared" si="6"/>
        <v>1136.0783272461952</v>
      </c>
      <c r="F42" s="27">
        <f t="shared" si="1"/>
        <v>24677.671427823792</v>
      </c>
      <c r="G42" s="27">
        <f t="shared" si="2"/>
        <v>111651.72784171962</v>
      </c>
      <c r="H42" s="49">
        <f t="shared" si="3"/>
        <v>0.11165172784171962</v>
      </c>
      <c r="I42" s="46">
        <f t="shared" si="4"/>
        <v>0.88834827215828038</v>
      </c>
    </row>
    <row r="43" spans="1:9" x14ac:dyDescent="0.2">
      <c r="A43" s="4">
        <v>30</v>
      </c>
      <c r="B43" s="5">
        <v>47059</v>
      </c>
      <c r="C43" s="4">
        <f t="shared" si="0"/>
        <v>31</v>
      </c>
      <c r="D43" s="27">
        <f t="shared" si="5"/>
        <v>25813.749755069988</v>
      </c>
      <c r="E43" s="27">
        <f t="shared" si="6"/>
        <v>930.43106534766355</v>
      </c>
      <c r="F43" s="27">
        <f t="shared" si="1"/>
        <v>24883.318689722324</v>
      </c>
      <c r="G43" s="27">
        <f t="shared" si="2"/>
        <v>86768.409151997301</v>
      </c>
      <c r="H43" s="49">
        <f t="shared" si="3"/>
        <v>8.6768409151997294E-2</v>
      </c>
      <c r="I43" s="46">
        <f t="shared" si="4"/>
        <v>0.91323159084800265</v>
      </c>
    </row>
    <row r="44" spans="1:9" x14ac:dyDescent="0.2">
      <c r="A44" s="4">
        <v>31</v>
      </c>
      <c r="B44" s="5">
        <v>47089</v>
      </c>
      <c r="C44" s="4">
        <f t="shared" si="0"/>
        <v>30</v>
      </c>
      <c r="D44" s="27">
        <f t="shared" si="5"/>
        <v>25813.749755069988</v>
      </c>
      <c r="E44" s="27">
        <f t="shared" si="6"/>
        <v>723.07007626664426</v>
      </c>
      <c r="F44" s="27">
        <f t="shared" si="1"/>
        <v>25090.679678803343</v>
      </c>
      <c r="G44" s="27">
        <f t="shared" si="2"/>
        <v>61677.729473193962</v>
      </c>
      <c r="H44" s="49">
        <f t="shared" si="3"/>
        <v>6.1677729473193964E-2</v>
      </c>
      <c r="I44" s="46">
        <f t="shared" si="4"/>
        <v>0.93832227052680606</v>
      </c>
    </row>
    <row r="45" spans="1:9" x14ac:dyDescent="0.2">
      <c r="A45" s="4">
        <v>32</v>
      </c>
      <c r="B45" s="5">
        <v>47120</v>
      </c>
      <c r="C45" s="4">
        <f t="shared" si="0"/>
        <v>31</v>
      </c>
      <c r="D45" s="27">
        <f t="shared" si="5"/>
        <v>25813.749755069988</v>
      </c>
      <c r="E45" s="27">
        <f t="shared" si="6"/>
        <v>513.98107894328302</v>
      </c>
      <c r="F45" s="27">
        <f t="shared" si="1"/>
        <v>25299.768676126707</v>
      </c>
      <c r="G45" s="27">
        <f t="shared" si="2"/>
        <v>36377.960797067251</v>
      </c>
      <c r="H45" s="49">
        <f t="shared" si="3"/>
        <v>3.6377960797067253E-2</v>
      </c>
      <c r="I45" s="46">
        <f t="shared" si="4"/>
        <v>0.96362203920293277</v>
      </c>
    </row>
    <row r="46" spans="1:9" x14ac:dyDescent="0.2">
      <c r="A46" s="4">
        <v>33</v>
      </c>
      <c r="B46" s="5">
        <v>47151</v>
      </c>
      <c r="C46" s="4">
        <f t="shared" si="0"/>
        <v>31</v>
      </c>
      <c r="D46" s="27">
        <f t="shared" si="5"/>
        <v>25813.749755069988</v>
      </c>
      <c r="E46" s="27">
        <f t="shared" si="6"/>
        <v>303.1496733088938</v>
      </c>
      <c r="F46" s="27">
        <f t="shared" si="1"/>
        <v>25510.600081761095</v>
      </c>
      <c r="G46" s="27">
        <f t="shared" si="2"/>
        <v>10867.360715306157</v>
      </c>
      <c r="H46" s="49">
        <f t="shared" si="3"/>
        <v>1.0867360715306156E-2</v>
      </c>
      <c r="I46" s="46">
        <f t="shared" si="4"/>
        <v>0.98913263928469386</v>
      </c>
    </row>
    <row r="47" spans="1:9" x14ac:dyDescent="0.2">
      <c r="A47" s="4">
        <v>34</v>
      </c>
      <c r="B47" s="5">
        <v>47179</v>
      </c>
      <c r="C47" s="4">
        <f t="shared" si="0"/>
        <v>28</v>
      </c>
      <c r="D47" s="27">
        <f>$E$3-14915</f>
        <v>10898.749755069988</v>
      </c>
      <c r="E47" s="27">
        <f t="shared" si="6"/>
        <v>90.561339294217973</v>
      </c>
      <c r="F47" s="51">
        <f t="shared" si="1"/>
        <v>10808.18841577577</v>
      </c>
      <c r="G47" s="27">
        <f t="shared" si="2"/>
        <v>59.172299530386226</v>
      </c>
      <c r="H47" s="49">
        <f t="shared" si="3"/>
        <v>5.9172299530386227E-5</v>
      </c>
      <c r="I47" s="46">
        <f t="shared" si="4"/>
        <v>0.99994082770046966</v>
      </c>
    </row>
  </sheetData>
  <hyperlinks>
    <hyperlink ref="A1" location="Scenarios!C13" display="Scenario -5" xr:uid="{E3728854-F5C6-5A4A-A561-DD85D40158C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7EE5E-2A38-4940-927D-AFEC6C00B9BE}">
  <dimension ref="A1:I48"/>
  <sheetViews>
    <sheetView zoomScale="125" workbookViewId="0"/>
  </sheetViews>
  <sheetFormatPr baseColWidth="10" defaultRowHeight="16" x14ac:dyDescent="0.2"/>
  <cols>
    <col min="1" max="1" width="15.83203125" customWidth="1"/>
    <col min="2" max="3" width="13.83203125" customWidth="1"/>
    <col min="4" max="4" width="17.6640625" customWidth="1"/>
    <col min="5" max="5" width="27.83203125" customWidth="1"/>
    <col min="7" max="7" width="14.5" customWidth="1"/>
    <col min="8" max="8" width="11.5" bestFit="1" customWidth="1"/>
  </cols>
  <sheetData>
    <row r="1" spans="1:9" x14ac:dyDescent="0.2">
      <c r="A1" s="30" t="s">
        <v>38</v>
      </c>
      <c r="B1" t="s">
        <v>37</v>
      </c>
    </row>
    <row r="2" spans="1:9" ht="51" x14ac:dyDescent="0.2">
      <c r="A2" s="50" t="s">
        <v>34</v>
      </c>
      <c r="B2" s="5">
        <v>46147</v>
      </c>
      <c r="C2" s="5"/>
      <c r="D2" s="50" t="s">
        <v>33</v>
      </c>
      <c r="E2" s="5">
        <v>46178</v>
      </c>
      <c r="F2" s="1"/>
      <c r="G2" s="1"/>
      <c r="H2" s="1"/>
    </row>
    <row r="3" spans="1:9" ht="17" x14ac:dyDescent="0.2">
      <c r="A3" s="50" t="s">
        <v>31</v>
      </c>
      <c r="B3" s="29">
        <v>0.1</v>
      </c>
      <c r="C3" s="4"/>
      <c r="D3" s="50" t="s">
        <v>30</v>
      </c>
      <c r="E3" s="27">
        <f>PMT(B3/12,B7,-B6)</f>
        <v>25813.749755069988</v>
      </c>
      <c r="F3" s="1"/>
      <c r="G3" s="1"/>
      <c r="H3" s="1"/>
    </row>
    <row r="4" spans="1:9" ht="17" x14ac:dyDescent="0.2">
      <c r="A4" s="50" t="s">
        <v>24</v>
      </c>
      <c r="B4" s="27">
        <v>1000000</v>
      </c>
      <c r="C4" s="4"/>
      <c r="D4" s="50" t="s">
        <v>25</v>
      </c>
      <c r="E4" s="5">
        <v>46306</v>
      </c>
      <c r="F4" s="1"/>
      <c r="G4" s="1"/>
      <c r="H4" s="1"/>
    </row>
    <row r="5" spans="1:9" ht="34" x14ac:dyDescent="0.2">
      <c r="A5" s="50" t="s">
        <v>21</v>
      </c>
      <c r="B5" s="27">
        <f>20%*B4</f>
        <v>200000</v>
      </c>
      <c r="C5" s="4"/>
      <c r="D5" s="50" t="s">
        <v>22</v>
      </c>
      <c r="E5" s="27">
        <v>50000</v>
      </c>
      <c r="F5" s="1"/>
      <c r="G5" s="1"/>
      <c r="H5" s="1"/>
    </row>
    <row r="6" spans="1:9" ht="17" x14ac:dyDescent="0.2">
      <c r="A6" s="50" t="s">
        <v>18</v>
      </c>
      <c r="B6" s="27">
        <f>B4-B5</f>
        <v>800000</v>
      </c>
      <c r="C6" s="4"/>
      <c r="D6" s="50" t="s">
        <v>20</v>
      </c>
      <c r="E6" s="4" t="s">
        <v>19</v>
      </c>
      <c r="F6" s="1"/>
      <c r="G6" s="1"/>
      <c r="H6" s="1"/>
    </row>
    <row r="7" spans="1:9" ht="17" x14ac:dyDescent="0.2">
      <c r="A7" s="50" t="s">
        <v>15</v>
      </c>
      <c r="B7" s="4">
        <v>36</v>
      </c>
      <c r="C7" s="25" t="s">
        <v>14</v>
      </c>
      <c r="D7" s="4"/>
      <c r="E7" s="4"/>
      <c r="F7" s="1"/>
      <c r="G7" s="1"/>
      <c r="H7" s="1"/>
    </row>
    <row r="8" spans="1:9" x14ac:dyDescent="0.2">
      <c r="A8" s="1"/>
      <c r="B8" s="1"/>
      <c r="C8" s="1"/>
      <c r="D8" s="1"/>
      <c r="E8" s="1"/>
      <c r="F8" s="1"/>
      <c r="G8" s="1"/>
      <c r="H8" s="1"/>
    </row>
    <row r="9" spans="1:9" x14ac:dyDescent="0.2">
      <c r="A9" s="1"/>
      <c r="B9" s="1"/>
      <c r="C9" s="1"/>
      <c r="D9" s="1"/>
      <c r="E9" s="1"/>
      <c r="F9" s="1"/>
      <c r="G9" s="1"/>
      <c r="H9" s="1"/>
    </row>
    <row r="10" spans="1:9" x14ac:dyDescent="0.2">
      <c r="A10" s="1"/>
      <c r="B10" s="1"/>
      <c r="C10" s="1"/>
      <c r="D10" s="1"/>
      <c r="E10" s="1"/>
      <c r="F10" s="1"/>
      <c r="G10" s="1"/>
      <c r="H10" s="1"/>
    </row>
    <row r="11" spans="1:9" ht="34" x14ac:dyDescent="0.2">
      <c r="A11" s="50" t="s">
        <v>6</v>
      </c>
      <c r="B11" s="50" t="s">
        <v>5</v>
      </c>
      <c r="C11" s="50" t="s">
        <v>4</v>
      </c>
      <c r="D11" s="50" t="s">
        <v>3</v>
      </c>
      <c r="E11" s="50" t="s">
        <v>2</v>
      </c>
      <c r="F11" s="50" t="s">
        <v>1</v>
      </c>
      <c r="G11" s="50" t="s">
        <v>0</v>
      </c>
      <c r="H11" s="50" t="s">
        <v>70</v>
      </c>
      <c r="I11" s="50" t="s">
        <v>71</v>
      </c>
    </row>
    <row r="12" spans="1:9" x14ac:dyDescent="0.2">
      <c r="A12" s="4">
        <v>0</v>
      </c>
      <c r="B12" s="5">
        <f>'Disbursement and due date same'!$C$2</f>
        <v>46144</v>
      </c>
      <c r="C12" s="4"/>
      <c r="D12" s="4"/>
      <c r="E12" s="4"/>
      <c r="F12" s="4"/>
      <c r="G12" s="12">
        <f>$B$6</f>
        <v>800000</v>
      </c>
      <c r="H12" s="49">
        <f>G12/$B$4</f>
        <v>0.8</v>
      </c>
      <c r="I12" s="46">
        <f>1-H12</f>
        <v>0.19999999999999996</v>
      </c>
    </row>
    <row r="13" spans="1:9" x14ac:dyDescent="0.2">
      <c r="A13" s="4">
        <v>1</v>
      </c>
      <c r="B13" s="5">
        <v>46178</v>
      </c>
      <c r="C13" s="4">
        <f t="shared" ref="C13:C47" si="0">B13-B12</f>
        <v>34</v>
      </c>
      <c r="D13" s="27">
        <f>$E$3</f>
        <v>25813.749755069988</v>
      </c>
      <c r="E13" s="27">
        <f>G12*$B$3/12</f>
        <v>6666.666666666667</v>
      </c>
      <c r="F13" s="27">
        <f t="shared" ref="F13:F47" si="1">D13-E13</f>
        <v>19147.08308840332</v>
      </c>
      <c r="G13" s="27">
        <f t="shared" ref="G13:G47" si="2">G12-F13</f>
        <v>780852.91691159667</v>
      </c>
      <c r="H13" s="49">
        <f t="shared" ref="H13:H47" si="3">G13/$B$4</f>
        <v>0.78085291691159664</v>
      </c>
      <c r="I13" s="46">
        <f t="shared" ref="I13:I47" si="4">1-H13</f>
        <v>0.21914708308840336</v>
      </c>
    </row>
    <row r="14" spans="1:9" x14ac:dyDescent="0.2">
      <c r="A14" s="4">
        <v>2</v>
      </c>
      <c r="B14" s="5">
        <v>46208</v>
      </c>
      <c r="C14" s="4">
        <f t="shared" si="0"/>
        <v>30</v>
      </c>
      <c r="D14" s="27">
        <f>$E$3</f>
        <v>25813.749755069988</v>
      </c>
      <c r="E14" s="27">
        <f>G13*$B$3/12</f>
        <v>6507.1076409299721</v>
      </c>
      <c r="F14" s="27">
        <f t="shared" si="1"/>
        <v>19306.642114140017</v>
      </c>
      <c r="G14" s="27">
        <f t="shared" si="2"/>
        <v>761546.27479745669</v>
      </c>
      <c r="H14" s="49">
        <f t="shared" si="3"/>
        <v>0.76154627479745673</v>
      </c>
      <c r="I14" s="46">
        <f t="shared" si="4"/>
        <v>0.23845372520254327</v>
      </c>
    </row>
    <row r="15" spans="1:9" x14ac:dyDescent="0.2">
      <c r="A15" s="4">
        <v>3</v>
      </c>
      <c r="B15" s="5">
        <v>46239</v>
      </c>
      <c r="C15" s="4">
        <f t="shared" si="0"/>
        <v>31</v>
      </c>
      <c r="D15" s="27">
        <f>$E$3</f>
        <v>25813.749755069988</v>
      </c>
      <c r="E15" s="27">
        <f>G14*$B$3/12</f>
        <v>6346.2189566454726</v>
      </c>
      <c r="F15" s="27">
        <f t="shared" si="1"/>
        <v>19467.530798424516</v>
      </c>
      <c r="G15" s="27">
        <f t="shared" si="2"/>
        <v>742078.74399903219</v>
      </c>
      <c r="H15" s="49">
        <f t="shared" si="3"/>
        <v>0.74207874399903218</v>
      </c>
      <c r="I15" s="46">
        <f t="shared" si="4"/>
        <v>0.25792125600096782</v>
      </c>
    </row>
    <row r="16" spans="1:9" x14ac:dyDescent="0.2">
      <c r="A16" s="4">
        <v>4</v>
      </c>
      <c r="B16" s="5">
        <v>46270</v>
      </c>
      <c r="C16" s="4">
        <f t="shared" si="0"/>
        <v>31</v>
      </c>
      <c r="D16" s="27">
        <f>$E$3</f>
        <v>25813.749755069988</v>
      </c>
      <c r="E16" s="27">
        <f>G15*$B$3/12</f>
        <v>6183.989533325268</v>
      </c>
      <c r="F16" s="27">
        <f t="shared" si="1"/>
        <v>19629.76022174472</v>
      </c>
      <c r="G16" s="27">
        <f t="shared" si="2"/>
        <v>722448.98377728742</v>
      </c>
      <c r="H16" s="49">
        <f t="shared" si="3"/>
        <v>0.72244898377728739</v>
      </c>
      <c r="I16" s="46">
        <f t="shared" si="4"/>
        <v>0.27755101622271261</v>
      </c>
    </row>
    <row r="17" spans="1:9" x14ac:dyDescent="0.2">
      <c r="A17" s="15">
        <v>5</v>
      </c>
      <c r="B17" s="16">
        <v>46300</v>
      </c>
      <c r="C17" s="15">
        <f t="shared" si="0"/>
        <v>30</v>
      </c>
      <c r="D17" s="27">
        <f>$E$3</f>
        <v>25813.749755069988</v>
      </c>
      <c r="E17" s="27">
        <f>G16*$B$3/12</f>
        <v>6020.4081981440622</v>
      </c>
      <c r="F17" s="51">
        <f t="shared" si="1"/>
        <v>19793.341556925927</v>
      </c>
      <c r="G17" s="51">
        <f t="shared" si="2"/>
        <v>702655.64222036151</v>
      </c>
      <c r="H17" s="49">
        <f t="shared" si="3"/>
        <v>0.70265564222036148</v>
      </c>
      <c r="I17" s="46">
        <f t="shared" si="4"/>
        <v>0.29734435777963852</v>
      </c>
    </row>
    <row r="18" spans="1:9" x14ac:dyDescent="0.2">
      <c r="A18" s="15">
        <v>6</v>
      </c>
      <c r="B18" s="16">
        <f>E4</f>
        <v>46306</v>
      </c>
      <c r="C18" s="15">
        <f t="shared" si="0"/>
        <v>6</v>
      </c>
      <c r="D18" s="51">
        <v>50000</v>
      </c>
      <c r="E18" s="51">
        <f>G17*B3/12*C18/30</f>
        <v>1171.0927370339357</v>
      </c>
      <c r="F18" s="51">
        <f t="shared" si="1"/>
        <v>48828.907262966066</v>
      </c>
      <c r="G18" s="51">
        <f t="shared" si="2"/>
        <v>653826.73495739547</v>
      </c>
      <c r="H18" s="49">
        <f t="shared" si="3"/>
        <v>0.65382673495739552</v>
      </c>
      <c r="I18" s="46">
        <f t="shared" si="4"/>
        <v>0.34617326504260448</v>
      </c>
    </row>
    <row r="19" spans="1:9" x14ac:dyDescent="0.2">
      <c r="A19" s="4">
        <v>6</v>
      </c>
      <c r="B19" s="5">
        <v>46331</v>
      </c>
      <c r="C19" s="4">
        <f t="shared" si="0"/>
        <v>25</v>
      </c>
      <c r="D19" s="27">
        <f t="shared" ref="D19:D46" si="5">$E$3</f>
        <v>25813.749755069988</v>
      </c>
      <c r="E19" s="27">
        <f t="shared" ref="E19:E47" si="6">G18*$B$3/12</f>
        <v>5448.5561246449624</v>
      </c>
      <c r="F19" s="27">
        <f t="shared" si="1"/>
        <v>20365.193630425027</v>
      </c>
      <c r="G19" s="27">
        <f t="shared" si="2"/>
        <v>633461.54132697044</v>
      </c>
      <c r="H19" s="49">
        <f t="shared" si="3"/>
        <v>0.63346154132697041</v>
      </c>
      <c r="I19" s="46">
        <f t="shared" si="4"/>
        <v>0.36653845867302959</v>
      </c>
    </row>
    <row r="20" spans="1:9" x14ac:dyDescent="0.2">
      <c r="A20" s="4">
        <v>7</v>
      </c>
      <c r="B20" s="5">
        <v>46361</v>
      </c>
      <c r="C20" s="4">
        <f t="shared" si="0"/>
        <v>30</v>
      </c>
      <c r="D20" s="27">
        <f t="shared" si="5"/>
        <v>25813.749755069988</v>
      </c>
      <c r="E20" s="27">
        <f t="shared" si="6"/>
        <v>5278.8461777247539</v>
      </c>
      <c r="F20" s="27">
        <f t="shared" si="1"/>
        <v>20534.903577345234</v>
      </c>
      <c r="G20" s="27">
        <f t="shared" si="2"/>
        <v>612926.63774962525</v>
      </c>
      <c r="H20" s="49">
        <f t="shared" si="3"/>
        <v>0.6129266377496253</v>
      </c>
      <c r="I20" s="46">
        <f t="shared" si="4"/>
        <v>0.3870733622503747</v>
      </c>
    </row>
    <row r="21" spans="1:9" x14ac:dyDescent="0.2">
      <c r="A21" s="4">
        <v>8</v>
      </c>
      <c r="B21" s="5">
        <v>46392</v>
      </c>
      <c r="C21" s="4">
        <f t="shared" si="0"/>
        <v>31</v>
      </c>
      <c r="D21" s="27">
        <f t="shared" si="5"/>
        <v>25813.749755069988</v>
      </c>
      <c r="E21" s="27">
        <f t="shared" si="6"/>
        <v>5107.7219812468775</v>
      </c>
      <c r="F21" s="27">
        <f t="shared" si="1"/>
        <v>20706.027773823109</v>
      </c>
      <c r="G21" s="27">
        <f t="shared" si="2"/>
        <v>592220.60997580213</v>
      </c>
      <c r="H21" s="49">
        <f t="shared" si="3"/>
        <v>0.59222060997580217</v>
      </c>
      <c r="I21" s="46">
        <f t="shared" si="4"/>
        <v>0.40777939002419783</v>
      </c>
    </row>
    <row r="22" spans="1:9" x14ac:dyDescent="0.2">
      <c r="A22" s="4">
        <v>9</v>
      </c>
      <c r="B22" s="5">
        <v>46423</v>
      </c>
      <c r="C22" s="4">
        <f t="shared" si="0"/>
        <v>31</v>
      </c>
      <c r="D22" s="27">
        <f t="shared" si="5"/>
        <v>25813.749755069988</v>
      </c>
      <c r="E22" s="27">
        <f t="shared" si="6"/>
        <v>4935.1717497983509</v>
      </c>
      <c r="F22" s="27">
        <f t="shared" si="1"/>
        <v>20878.578005271636</v>
      </c>
      <c r="G22" s="27">
        <f t="shared" si="2"/>
        <v>571342.03197053052</v>
      </c>
      <c r="H22" s="49">
        <f t="shared" si="3"/>
        <v>0.57134203197053046</v>
      </c>
      <c r="I22" s="46">
        <f t="shared" si="4"/>
        <v>0.42865796802946954</v>
      </c>
    </row>
    <row r="23" spans="1:9" x14ac:dyDescent="0.2">
      <c r="A23" s="4">
        <v>10</v>
      </c>
      <c r="B23" s="5">
        <v>46451</v>
      </c>
      <c r="C23" s="4">
        <f t="shared" si="0"/>
        <v>28</v>
      </c>
      <c r="D23" s="27">
        <f t="shared" si="5"/>
        <v>25813.749755069988</v>
      </c>
      <c r="E23" s="27">
        <f t="shared" si="6"/>
        <v>4761.1835997544213</v>
      </c>
      <c r="F23" s="27">
        <f t="shared" si="1"/>
        <v>21052.566155315566</v>
      </c>
      <c r="G23" s="27">
        <f t="shared" si="2"/>
        <v>550289.46581521491</v>
      </c>
      <c r="H23" s="49">
        <f t="shared" si="3"/>
        <v>0.55028946581521487</v>
      </c>
      <c r="I23" s="46">
        <f t="shared" si="4"/>
        <v>0.44971053418478513</v>
      </c>
    </row>
    <row r="24" spans="1:9" x14ac:dyDescent="0.2">
      <c r="A24" s="4">
        <v>11</v>
      </c>
      <c r="B24" s="5">
        <v>46482</v>
      </c>
      <c r="C24" s="4">
        <f t="shared" si="0"/>
        <v>31</v>
      </c>
      <c r="D24" s="27">
        <f t="shared" si="5"/>
        <v>25813.749755069988</v>
      </c>
      <c r="E24" s="27">
        <f t="shared" si="6"/>
        <v>4585.7455484601242</v>
      </c>
      <c r="F24" s="27">
        <f t="shared" si="1"/>
        <v>21228.004206609865</v>
      </c>
      <c r="G24" s="27">
        <f t="shared" si="2"/>
        <v>529061.46160860499</v>
      </c>
      <c r="H24" s="49">
        <f t="shared" si="3"/>
        <v>0.52906146160860501</v>
      </c>
      <c r="I24" s="46">
        <f t="shared" si="4"/>
        <v>0.47093853839139499</v>
      </c>
    </row>
    <row r="25" spans="1:9" x14ac:dyDescent="0.2">
      <c r="A25" s="4">
        <v>12</v>
      </c>
      <c r="B25" s="5">
        <v>46512</v>
      </c>
      <c r="C25" s="4">
        <f t="shared" si="0"/>
        <v>30</v>
      </c>
      <c r="D25" s="27">
        <f t="shared" si="5"/>
        <v>25813.749755069988</v>
      </c>
      <c r="E25" s="27">
        <f t="shared" si="6"/>
        <v>4408.8455134050419</v>
      </c>
      <c r="F25" s="27">
        <f t="shared" si="1"/>
        <v>21404.904241664946</v>
      </c>
      <c r="G25" s="27">
        <f t="shared" si="2"/>
        <v>507656.55736694008</v>
      </c>
      <c r="H25" s="49">
        <f t="shared" si="3"/>
        <v>0.50765655736694004</v>
      </c>
      <c r="I25" s="46">
        <f t="shared" si="4"/>
        <v>0.49234344263305996</v>
      </c>
    </row>
    <row r="26" spans="1:9" x14ac:dyDescent="0.2">
      <c r="A26" s="4">
        <v>13</v>
      </c>
      <c r="B26" s="5">
        <v>46543</v>
      </c>
      <c r="C26" s="4">
        <f t="shared" si="0"/>
        <v>31</v>
      </c>
      <c r="D26" s="27">
        <f t="shared" si="5"/>
        <v>25813.749755069988</v>
      </c>
      <c r="E26" s="27">
        <f t="shared" si="6"/>
        <v>4230.4713113911675</v>
      </c>
      <c r="F26" s="27">
        <f t="shared" si="1"/>
        <v>21583.278443678821</v>
      </c>
      <c r="G26" s="27">
        <f t="shared" si="2"/>
        <v>486073.27892326127</v>
      </c>
      <c r="H26" s="49">
        <f t="shared" si="3"/>
        <v>0.48607327892326124</v>
      </c>
      <c r="I26" s="46">
        <f t="shared" si="4"/>
        <v>0.51392672107673876</v>
      </c>
    </row>
    <row r="27" spans="1:9" x14ac:dyDescent="0.2">
      <c r="A27" s="4">
        <v>14</v>
      </c>
      <c r="B27" s="5">
        <v>46573</v>
      </c>
      <c r="C27" s="4">
        <f t="shared" si="0"/>
        <v>30</v>
      </c>
      <c r="D27" s="27">
        <f t="shared" si="5"/>
        <v>25813.749755069988</v>
      </c>
      <c r="E27" s="27">
        <f t="shared" si="6"/>
        <v>4050.6106576938441</v>
      </c>
      <c r="F27" s="27">
        <f t="shared" si="1"/>
        <v>21763.139097376144</v>
      </c>
      <c r="G27" s="27">
        <f t="shared" si="2"/>
        <v>464310.13982588513</v>
      </c>
      <c r="H27" s="49">
        <f t="shared" si="3"/>
        <v>0.46431013982588515</v>
      </c>
      <c r="I27" s="46">
        <f t="shared" si="4"/>
        <v>0.53568986017411491</v>
      </c>
    </row>
    <row r="28" spans="1:9" x14ac:dyDescent="0.2">
      <c r="A28" s="4">
        <v>15</v>
      </c>
      <c r="B28" s="5">
        <v>46604</v>
      </c>
      <c r="C28" s="4">
        <f t="shared" si="0"/>
        <v>31</v>
      </c>
      <c r="D28" s="27">
        <f t="shared" si="5"/>
        <v>25813.749755069988</v>
      </c>
      <c r="E28" s="27">
        <f t="shared" si="6"/>
        <v>3869.2511652157095</v>
      </c>
      <c r="F28" s="27">
        <f t="shared" si="1"/>
        <v>21944.49858985428</v>
      </c>
      <c r="G28" s="27">
        <f t="shared" si="2"/>
        <v>442365.64123603085</v>
      </c>
      <c r="H28" s="49">
        <f t="shared" si="3"/>
        <v>0.44236564123603084</v>
      </c>
      <c r="I28" s="46">
        <f t="shared" si="4"/>
        <v>0.55763435876396916</v>
      </c>
    </row>
    <row r="29" spans="1:9" x14ac:dyDescent="0.2">
      <c r="A29" s="4">
        <v>16</v>
      </c>
      <c r="B29" s="5">
        <v>46635</v>
      </c>
      <c r="C29" s="4">
        <f t="shared" si="0"/>
        <v>31</v>
      </c>
      <c r="D29" s="27">
        <f t="shared" si="5"/>
        <v>25813.749755069988</v>
      </c>
      <c r="E29" s="27">
        <f t="shared" si="6"/>
        <v>3686.3803436335907</v>
      </c>
      <c r="F29" s="27">
        <f t="shared" si="1"/>
        <v>22127.369411436397</v>
      </c>
      <c r="G29" s="27">
        <f t="shared" si="2"/>
        <v>420238.27182459447</v>
      </c>
      <c r="H29" s="49">
        <f t="shared" si="3"/>
        <v>0.42023827182459444</v>
      </c>
      <c r="I29" s="46">
        <f t="shared" si="4"/>
        <v>0.5797617281754055</v>
      </c>
    </row>
    <row r="30" spans="1:9" x14ac:dyDescent="0.2">
      <c r="A30" s="4">
        <v>17</v>
      </c>
      <c r="B30" s="5">
        <v>46665</v>
      </c>
      <c r="C30" s="4">
        <f t="shared" si="0"/>
        <v>30</v>
      </c>
      <c r="D30" s="27">
        <f t="shared" si="5"/>
        <v>25813.749755069988</v>
      </c>
      <c r="E30" s="27">
        <f t="shared" si="6"/>
        <v>3501.9855985382874</v>
      </c>
      <c r="F30" s="27">
        <f t="shared" si="1"/>
        <v>22311.764156531703</v>
      </c>
      <c r="G30" s="27">
        <f t="shared" si="2"/>
        <v>397926.50766806275</v>
      </c>
      <c r="H30" s="49">
        <f t="shared" si="3"/>
        <v>0.39792650766806276</v>
      </c>
      <c r="I30" s="46">
        <f t="shared" si="4"/>
        <v>0.6020734923319373</v>
      </c>
    </row>
    <row r="31" spans="1:9" x14ac:dyDescent="0.2">
      <c r="A31" s="4">
        <v>18</v>
      </c>
      <c r="B31" s="5">
        <v>46696</v>
      </c>
      <c r="C31" s="4">
        <f t="shared" si="0"/>
        <v>31</v>
      </c>
      <c r="D31" s="27">
        <f t="shared" si="5"/>
        <v>25813.749755069988</v>
      </c>
      <c r="E31" s="27">
        <f t="shared" si="6"/>
        <v>3316.0542305671897</v>
      </c>
      <c r="F31" s="27">
        <f t="shared" si="1"/>
        <v>22497.6955245028</v>
      </c>
      <c r="G31" s="27">
        <f t="shared" si="2"/>
        <v>375428.81214355998</v>
      </c>
      <c r="H31" s="49">
        <f t="shared" si="3"/>
        <v>0.37542881214356</v>
      </c>
      <c r="I31" s="46">
        <f t="shared" si="4"/>
        <v>0.62457118785643995</v>
      </c>
    </row>
    <row r="32" spans="1:9" x14ac:dyDescent="0.2">
      <c r="A32" s="4">
        <v>19</v>
      </c>
      <c r="B32" s="5">
        <v>46726</v>
      </c>
      <c r="C32" s="4">
        <f t="shared" si="0"/>
        <v>30</v>
      </c>
      <c r="D32" s="27">
        <f t="shared" si="5"/>
        <v>25813.749755069988</v>
      </c>
      <c r="E32" s="27">
        <f t="shared" si="6"/>
        <v>3128.5734345296664</v>
      </c>
      <c r="F32" s="27">
        <f t="shared" si="1"/>
        <v>22685.176320540322</v>
      </c>
      <c r="G32" s="27">
        <f t="shared" si="2"/>
        <v>352743.63582301966</v>
      </c>
      <c r="H32" s="49">
        <f t="shared" si="3"/>
        <v>0.35274363582301965</v>
      </c>
      <c r="I32" s="46">
        <f t="shared" si="4"/>
        <v>0.6472563641769804</v>
      </c>
    </row>
    <row r="33" spans="1:9" x14ac:dyDescent="0.2">
      <c r="A33" s="4">
        <v>20</v>
      </c>
      <c r="B33" s="5">
        <v>46757</v>
      </c>
      <c r="C33" s="4">
        <f t="shared" si="0"/>
        <v>31</v>
      </c>
      <c r="D33" s="27">
        <f t="shared" si="5"/>
        <v>25813.749755069988</v>
      </c>
      <c r="E33" s="27">
        <f t="shared" si="6"/>
        <v>2939.5302985251637</v>
      </c>
      <c r="F33" s="27">
        <f t="shared" si="1"/>
        <v>22874.219456544823</v>
      </c>
      <c r="G33" s="27">
        <f t="shared" si="2"/>
        <v>329869.41636647482</v>
      </c>
      <c r="H33" s="49">
        <f t="shared" si="3"/>
        <v>0.32986941636647482</v>
      </c>
      <c r="I33" s="46">
        <f t="shared" si="4"/>
        <v>0.67013058363352518</v>
      </c>
    </row>
    <row r="34" spans="1:9" x14ac:dyDescent="0.2">
      <c r="A34" s="4">
        <v>21</v>
      </c>
      <c r="B34" s="5">
        <v>46788</v>
      </c>
      <c r="C34" s="4">
        <f t="shared" si="0"/>
        <v>31</v>
      </c>
      <c r="D34" s="27">
        <f t="shared" si="5"/>
        <v>25813.749755069988</v>
      </c>
      <c r="E34" s="27">
        <f t="shared" si="6"/>
        <v>2748.9118030539571</v>
      </c>
      <c r="F34" s="27">
        <f t="shared" si="1"/>
        <v>23064.837952016031</v>
      </c>
      <c r="G34" s="27">
        <f t="shared" si="2"/>
        <v>306804.57841445878</v>
      </c>
      <c r="H34" s="49">
        <f t="shared" si="3"/>
        <v>0.3068045784144588</v>
      </c>
      <c r="I34" s="46">
        <f t="shared" si="4"/>
        <v>0.69319542158554115</v>
      </c>
    </row>
    <row r="35" spans="1:9" x14ac:dyDescent="0.2">
      <c r="A35" s="4">
        <v>22</v>
      </c>
      <c r="B35" s="5">
        <v>46817</v>
      </c>
      <c r="C35" s="4">
        <f t="shared" si="0"/>
        <v>29</v>
      </c>
      <c r="D35" s="27">
        <f t="shared" si="5"/>
        <v>25813.749755069988</v>
      </c>
      <c r="E35" s="27">
        <f t="shared" si="6"/>
        <v>2556.7048201204902</v>
      </c>
      <c r="F35" s="27">
        <f t="shared" si="1"/>
        <v>23257.044934949499</v>
      </c>
      <c r="G35" s="27">
        <f t="shared" si="2"/>
        <v>283547.53347950929</v>
      </c>
      <c r="H35" s="49">
        <f t="shared" si="3"/>
        <v>0.28354753347950928</v>
      </c>
      <c r="I35" s="46">
        <f t="shared" si="4"/>
        <v>0.71645246652049077</v>
      </c>
    </row>
    <row r="36" spans="1:9" x14ac:dyDescent="0.2">
      <c r="A36" s="4">
        <v>23</v>
      </c>
      <c r="B36" s="5">
        <v>46848</v>
      </c>
      <c r="C36" s="4">
        <f t="shared" si="0"/>
        <v>31</v>
      </c>
      <c r="D36" s="27">
        <f t="shared" si="5"/>
        <v>25813.749755069988</v>
      </c>
      <c r="E36" s="27">
        <f t="shared" si="6"/>
        <v>2362.8961123292443</v>
      </c>
      <c r="F36" s="27">
        <f t="shared" si="1"/>
        <v>23450.853642740745</v>
      </c>
      <c r="G36" s="27">
        <f t="shared" si="2"/>
        <v>260096.67983676854</v>
      </c>
      <c r="H36" s="49">
        <f t="shared" si="3"/>
        <v>0.26009667983676854</v>
      </c>
      <c r="I36" s="46">
        <f t="shared" si="4"/>
        <v>0.73990332016323146</v>
      </c>
    </row>
    <row r="37" spans="1:9" x14ac:dyDescent="0.2">
      <c r="A37" s="4">
        <v>24</v>
      </c>
      <c r="B37" s="5">
        <v>46878</v>
      </c>
      <c r="C37" s="4">
        <f t="shared" si="0"/>
        <v>30</v>
      </c>
      <c r="D37" s="27">
        <f t="shared" si="5"/>
        <v>25813.749755069988</v>
      </c>
      <c r="E37" s="27">
        <f t="shared" si="6"/>
        <v>2167.4723319730715</v>
      </c>
      <c r="F37" s="27">
        <f t="shared" si="1"/>
        <v>23646.277423096915</v>
      </c>
      <c r="G37" s="27">
        <f t="shared" si="2"/>
        <v>236450.40241367163</v>
      </c>
      <c r="H37" s="49">
        <f t="shared" si="3"/>
        <v>0.23645040241367163</v>
      </c>
      <c r="I37" s="46">
        <f t="shared" si="4"/>
        <v>0.76354959758632834</v>
      </c>
    </row>
    <row r="38" spans="1:9" x14ac:dyDescent="0.2">
      <c r="A38" s="4">
        <v>25</v>
      </c>
      <c r="B38" s="5">
        <v>46909</v>
      </c>
      <c r="C38" s="4">
        <f t="shared" si="0"/>
        <v>31</v>
      </c>
      <c r="D38" s="27">
        <f t="shared" si="5"/>
        <v>25813.749755069988</v>
      </c>
      <c r="E38" s="27">
        <f t="shared" si="6"/>
        <v>1970.4200201139304</v>
      </c>
      <c r="F38" s="27">
        <f t="shared" si="1"/>
        <v>23843.329734956056</v>
      </c>
      <c r="G38" s="27">
        <f t="shared" si="2"/>
        <v>212607.07267871557</v>
      </c>
      <c r="H38" s="49">
        <f t="shared" si="3"/>
        <v>0.21260707267871556</v>
      </c>
      <c r="I38" s="46">
        <f t="shared" si="4"/>
        <v>0.78739292732128441</v>
      </c>
    </row>
    <row r="39" spans="1:9" x14ac:dyDescent="0.2">
      <c r="A39" s="4">
        <v>26</v>
      </c>
      <c r="B39" s="5">
        <v>46939</v>
      </c>
      <c r="C39" s="4">
        <f t="shared" si="0"/>
        <v>30</v>
      </c>
      <c r="D39" s="27">
        <f t="shared" si="5"/>
        <v>25813.749755069988</v>
      </c>
      <c r="E39" s="27">
        <f t="shared" si="6"/>
        <v>1771.7256056559634</v>
      </c>
      <c r="F39" s="27">
        <f t="shared" si="1"/>
        <v>24042.024149414025</v>
      </c>
      <c r="G39" s="27">
        <f t="shared" si="2"/>
        <v>188565.04852930154</v>
      </c>
      <c r="H39" s="49">
        <f t="shared" si="3"/>
        <v>0.18856504852930153</v>
      </c>
      <c r="I39" s="46">
        <f t="shared" si="4"/>
        <v>0.81143495147069844</v>
      </c>
    </row>
    <row r="40" spans="1:9" x14ac:dyDescent="0.2">
      <c r="A40" s="4">
        <v>27</v>
      </c>
      <c r="B40" s="5">
        <v>46970</v>
      </c>
      <c r="C40" s="4">
        <f t="shared" si="0"/>
        <v>31</v>
      </c>
      <c r="D40" s="27">
        <f t="shared" si="5"/>
        <v>25813.749755069988</v>
      </c>
      <c r="E40" s="27">
        <f t="shared" si="6"/>
        <v>1571.3754044108462</v>
      </c>
      <c r="F40" s="27">
        <f t="shared" si="1"/>
        <v>24242.374350659142</v>
      </c>
      <c r="G40" s="27">
        <f t="shared" si="2"/>
        <v>164322.6741786424</v>
      </c>
      <c r="H40" s="49">
        <f t="shared" si="3"/>
        <v>0.16432267417864241</v>
      </c>
      <c r="I40" s="46">
        <f t="shared" si="4"/>
        <v>0.83567732582135756</v>
      </c>
    </row>
    <row r="41" spans="1:9" x14ac:dyDescent="0.2">
      <c r="A41" s="4">
        <v>28</v>
      </c>
      <c r="B41" s="5">
        <v>47001</v>
      </c>
      <c r="C41" s="4">
        <f t="shared" si="0"/>
        <v>31</v>
      </c>
      <c r="D41" s="27">
        <f t="shared" si="5"/>
        <v>25813.749755069988</v>
      </c>
      <c r="E41" s="27">
        <f t="shared" si="6"/>
        <v>1369.3556181553533</v>
      </c>
      <c r="F41" s="27">
        <f t="shared" si="1"/>
        <v>24444.394136914634</v>
      </c>
      <c r="G41" s="27">
        <f t="shared" si="2"/>
        <v>139878.28004172776</v>
      </c>
      <c r="H41" s="49">
        <f t="shared" si="3"/>
        <v>0.13987828004172775</v>
      </c>
      <c r="I41" s="46">
        <f t="shared" si="4"/>
        <v>0.86012171995827225</v>
      </c>
    </row>
    <row r="42" spans="1:9" x14ac:dyDescent="0.2">
      <c r="A42" s="4">
        <v>29</v>
      </c>
      <c r="B42" s="5">
        <v>47031</v>
      </c>
      <c r="C42" s="4">
        <f t="shared" si="0"/>
        <v>30</v>
      </c>
      <c r="D42" s="27">
        <f t="shared" si="5"/>
        <v>25813.749755069988</v>
      </c>
      <c r="E42" s="27">
        <f t="shared" si="6"/>
        <v>1165.6523336810649</v>
      </c>
      <c r="F42" s="27">
        <f t="shared" si="1"/>
        <v>24648.097421388924</v>
      </c>
      <c r="G42" s="27">
        <f t="shared" si="2"/>
        <v>115230.18262033883</v>
      </c>
      <c r="H42" s="49">
        <f t="shared" si="3"/>
        <v>0.11523018262033884</v>
      </c>
      <c r="I42" s="46">
        <f t="shared" si="4"/>
        <v>0.88476981737966121</v>
      </c>
    </row>
    <row r="43" spans="1:9" x14ac:dyDescent="0.2">
      <c r="A43" s="4">
        <v>30</v>
      </c>
      <c r="B43" s="5">
        <v>47062</v>
      </c>
      <c r="C43" s="4">
        <f t="shared" si="0"/>
        <v>31</v>
      </c>
      <c r="D43" s="27">
        <f t="shared" si="5"/>
        <v>25813.749755069988</v>
      </c>
      <c r="E43" s="27">
        <f t="shared" si="6"/>
        <v>960.25152183615694</v>
      </c>
      <c r="F43" s="27">
        <f t="shared" si="1"/>
        <v>24853.49823323383</v>
      </c>
      <c r="G43" s="27">
        <f t="shared" si="2"/>
        <v>90376.684387105008</v>
      </c>
      <c r="H43" s="49">
        <f t="shared" si="3"/>
        <v>9.0376684387105014E-2</v>
      </c>
      <c r="I43" s="46">
        <f t="shared" si="4"/>
        <v>0.909623315612895</v>
      </c>
    </row>
    <row r="44" spans="1:9" x14ac:dyDescent="0.2">
      <c r="A44" s="4">
        <v>31</v>
      </c>
      <c r="B44" s="5">
        <v>47092</v>
      </c>
      <c r="C44" s="4">
        <f t="shared" si="0"/>
        <v>30</v>
      </c>
      <c r="D44" s="27">
        <f t="shared" si="5"/>
        <v>25813.749755069988</v>
      </c>
      <c r="E44" s="27">
        <f t="shared" si="6"/>
        <v>753.13903655920842</v>
      </c>
      <c r="F44" s="27">
        <f t="shared" si="1"/>
        <v>25060.610718510779</v>
      </c>
      <c r="G44" s="27">
        <f t="shared" si="2"/>
        <v>65316.073668594225</v>
      </c>
      <c r="H44" s="49">
        <f t="shared" si="3"/>
        <v>6.5316073668594224E-2</v>
      </c>
      <c r="I44" s="46">
        <f t="shared" si="4"/>
        <v>0.93468392633140573</v>
      </c>
    </row>
    <row r="45" spans="1:9" x14ac:dyDescent="0.2">
      <c r="A45" s="4">
        <v>32</v>
      </c>
      <c r="B45" s="5">
        <v>47123</v>
      </c>
      <c r="C45" s="4">
        <f t="shared" si="0"/>
        <v>31</v>
      </c>
      <c r="D45" s="27">
        <f t="shared" si="5"/>
        <v>25813.749755069988</v>
      </c>
      <c r="E45" s="27">
        <f t="shared" si="6"/>
        <v>544.30061390495189</v>
      </c>
      <c r="F45" s="27">
        <f t="shared" si="1"/>
        <v>25269.449141165038</v>
      </c>
      <c r="G45" s="27">
        <f t="shared" si="2"/>
        <v>40046.624527429187</v>
      </c>
      <c r="H45" s="49">
        <f t="shared" si="3"/>
        <v>4.0046624527429187E-2</v>
      </c>
      <c r="I45" s="46">
        <f t="shared" si="4"/>
        <v>0.95995337547257087</v>
      </c>
    </row>
    <row r="46" spans="1:9" x14ac:dyDescent="0.2">
      <c r="A46" s="4">
        <v>33</v>
      </c>
      <c r="B46" s="5">
        <v>47154</v>
      </c>
      <c r="C46" s="4">
        <f t="shared" si="0"/>
        <v>31</v>
      </c>
      <c r="D46" s="27">
        <f t="shared" si="5"/>
        <v>25813.749755069988</v>
      </c>
      <c r="E46" s="27">
        <f t="shared" si="6"/>
        <v>333.72187106190989</v>
      </c>
      <c r="F46" s="27">
        <f t="shared" si="1"/>
        <v>25480.027884008079</v>
      </c>
      <c r="G46" s="27">
        <f t="shared" si="2"/>
        <v>14566.596643421108</v>
      </c>
      <c r="H46" s="49">
        <f t="shared" si="3"/>
        <v>1.4566596643421107E-2</v>
      </c>
      <c r="I46" s="46">
        <f t="shared" si="4"/>
        <v>0.98543340335657892</v>
      </c>
    </row>
    <row r="47" spans="1:9" x14ac:dyDescent="0.2">
      <c r="A47" s="4">
        <v>34</v>
      </c>
      <c r="B47" s="5">
        <v>47182</v>
      </c>
      <c r="C47" s="4">
        <f t="shared" si="0"/>
        <v>28</v>
      </c>
      <c r="D47" s="52">
        <f>$E$3-11126</f>
        <v>14687.749755069988</v>
      </c>
      <c r="E47" s="27">
        <f t="shared" si="6"/>
        <v>121.38830536184257</v>
      </c>
      <c r="F47" s="27">
        <f t="shared" si="1"/>
        <v>14566.361449708145</v>
      </c>
      <c r="G47" s="27">
        <f t="shared" si="2"/>
        <v>0.23519371296242753</v>
      </c>
      <c r="H47" s="49">
        <f t="shared" si="3"/>
        <v>2.3519371296242752E-7</v>
      </c>
      <c r="I47" s="46">
        <f t="shared" si="4"/>
        <v>0.99999976480628705</v>
      </c>
    </row>
    <row r="48" spans="1:9" x14ac:dyDescent="0.2">
      <c r="D48" t="s">
        <v>72</v>
      </c>
    </row>
  </sheetData>
  <hyperlinks>
    <hyperlink ref="A1" location="Scenarios!C14" display="Scenario -6" xr:uid="{4D85E7FD-274E-D841-91AF-EDAABEFD16B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2CEBC-025E-9246-95CC-98F46023F35B}">
  <dimension ref="A1:I19"/>
  <sheetViews>
    <sheetView zoomScale="137" workbookViewId="0">
      <selection activeCell="B4" sqref="B4:B6"/>
    </sheetView>
  </sheetViews>
  <sheetFormatPr baseColWidth="10" defaultRowHeight="16" x14ac:dyDescent="0.2"/>
  <cols>
    <col min="6" max="6" width="12.1640625" bestFit="1" customWidth="1"/>
  </cols>
  <sheetData>
    <row r="1" spans="1:9" x14ac:dyDescent="0.2">
      <c r="A1" s="30" t="s">
        <v>36</v>
      </c>
      <c r="B1" t="s">
        <v>35</v>
      </c>
    </row>
    <row r="2" spans="1:9" ht="51" x14ac:dyDescent="0.2">
      <c r="A2" s="25" t="s">
        <v>34</v>
      </c>
      <c r="B2" s="5">
        <v>46144</v>
      </c>
      <c r="C2" s="5"/>
      <c r="D2" s="25" t="s">
        <v>33</v>
      </c>
      <c r="E2" s="5">
        <v>46175</v>
      </c>
      <c r="F2" s="1"/>
      <c r="G2" s="1"/>
      <c r="H2" s="1"/>
    </row>
    <row r="3" spans="1:9" ht="34" x14ac:dyDescent="0.2">
      <c r="A3" s="25" t="s">
        <v>31</v>
      </c>
      <c r="B3" s="29">
        <v>0.1</v>
      </c>
      <c r="C3" s="4"/>
      <c r="D3" s="25" t="s">
        <v>30</v>
      </c>
      <c r="E3" s="3">
        <f>PMT(B3/12,B7,-B6)</f>
        <v>25813.749755069988</v>
      </c>
      <c r="F3" s="1"/>
      <c r="G3" s="1"/>
      <c r="H3" s="1"/>
    </row>
    <row r="4" spans="1:9" ht="34" x14ac:dyDescent="0.2">
      <c r="A4" s="25" t="s">
        <v>24</v>
      </c>
      <c r="B4" s="3">
        <v>1000000</v>
      </c>
      <c r="C4" s="4"/>
      <c r="D4" s="25" t="s">
        <v>23</v>
      </c>
      <c r="E4" s="5">
        <v>46306</v>
      </c>
      <c r="F4" s="1"/>
      <c r="G4" s="1"/>
      <c r="H4" s="1"/>
    </row>
    <row r="5" spans="1:9" ht="34" x14ac:dyDescent="0.2">
      <c r="A5" s="25" t="s">
        <v>21</v>
      </c>
      <c r="B5" s="39">
        <f>20%*B4</f>
        <v>200000</v>
      </c>
      <c r="C5" s="4"/>
      <c r="D5" s="25"/>
      <c r="E5" s="26"/>
      <c r="F5" s="1"/>
      <c r="G5" s="1"/>
      <c r="H5" s="1"/>
    </row>
    <row r="6" spans="1:9" ht="34" x14ac:dyDescent="0.2">
      <c r="A6" s="25" t="s">
        <v>18</v>
      </c>
      <c r="B6" s="3">
        <f>B4-B5</f>
        <v>800000</v>
      </c>
      <c r="C6" s="4"/>
      <c r="D6" s="25"/>
      <c r="E6" s="4"/>
      <c r="F6" s="1"/>
      <c r="G6" s="1"/>
      <c r="H6" s="1"/>
    </row>
    <row r="7" spans="1:9" ht="51" x14ac:dyDescent="0.2">
      <c r="A7" s="25" t="s">
        <v>17</v>
      </c>
      <c r="B7" s="4">
        <v>36</v>
      </c>
      <c r="C7" s="25" t="s">
        <v>14</v>
      </c>
      <c r="D7" s="4" t="s">
        <v>69</v>
      </c>
      <c r="E7" s="4">
        <f>A18</f>
        <v>6</v>
      </c>
      <c r="F7" s="1"/>
      <c r="G7" s="1"/>
      <c r="H7" s="1"/>
    </row>
    <row r="8" spans="1:9" x14ac:dyDescent="0.2">
      <c r="A8" s="1"/>
      <c r="B8" s="1"/>
      <c r="C8" s="1"/>
      <c r="D8" s="1"/>
      <c r="E8" s="1"/>
      <c r="F8" s="1"/>
      <c r="G8" s="1"/>
      <c r="H8" s="1"/>
    </row>
    <row r="9" spans="1:9" x14ac:dyDescent="0.2">
      <c r="A9" s="1"/>
      <c r="B9" s="1"/>
      <c r="C9" s="1"/>
      <c r="D9" s="1"/>
      <c r="E9" s="1"/>
      <c r="F9" s="1"/>
      <c r="G9" s="1"/>
      <c r="H9" s="1"/>
    </row>
    <row r="10" spans="1:9" x14ac:dyDescent="0.2">
      <c r="A10" s="1"/>
      <c r="B10" s="1"/>
      <c r="C10" s="1"/>
      <c r="D10" s="1"/>
      <c r="E10" s="1"/>
      <c r="F10" s="1"/>
      <c r="G10" s="1"/>
      <c r="H10" s="1"/>
    </row>
    <row r="11" spans="1:9" ht="34" x14ac:dyDescent="0.2">
      <c r="A11" s="25" t="s">
        <v>6</v>
      </c>
      <c r="B11" s="25" t="s">
        <v>5</v>
      </c>
      <c r="C11" s="25" t="s">
        <v>4</v>
      </c>
      <c r="D11" s="25" t="s">
        <v>3</v>
      </c>
      <c r="E11" s="25" t="s">
        <v>2</v>
      </c>
      <c r="F11" s="25" t="s">
        <v>1</v>
      </c>
      <c r="G11" s="25" t="s">
        <v>0</v>
      </c>
      <c r="H11" s="25" t="s">
        <v>13</v>
      </c>
      <c r="I11" s="25" t="s">
        <v>68</v>
      </c>
    </row>
    <row r="12" spans="1:9" x14ac:dyDescent="0.2">
      <c r="A12" s="15">
        <v>0</v>
      </c>
      <c r="B12" s="16">
        <v>46144</v>
      </c>
      <c r="C12" s="15"/>
      <c r="D12" s="20"/>
      <c r="E12" s="20"/>
      <c r="F12" s="20">
        <f t="shared" ref="F12:F18" si="0">D12-E12</f>
        <v>0</v>
      </c>
      <c r="G12" s="20">
        <f>B6</f>
        <v>800000</v>
      </c>
      <c r="H12" s="49">
        <f>G12/$B$4</f>
        <v>0.8</v>
      </c>
      <c r="I12" s="46">
        <f>1-H12</f>
        <v>0.19999999999999996</v>
      </c>
    </row>
    <row r="13" spans="1:9" x14ac:dyDescent="0.2">
      <c r="A13" s="15">
        <v>1</v>
      </c>
      <c r="B13" s="16">
        <v>46175</v>
      </c>
      <c r="C13" s="15">
        <f t="shared" ref="C13:C18" si="1">B13-B12</f>
        <v>31</v>
      </c>
      <c r="D13" s="20">
        <f>$E$3</f>
        <v>25813.749755069988</v>
      </c>
      <c r="E13" s="20">
        <f>(G12*B3/12*C13/30)+E12</f>
        <v>6888.8888888888896</v>
      </c>
      <c r="F13" s="20">
        <f t="shared" si="0"/>
        <v>18924.860866181098</v>
      </c>
      <c r="G13" s="20">
        <f>G12-F13</f>
        <v>781075.13913381891</v>
      </c>
      <c r="H13" s="49">
        <f t="shared" ref="H13:H18" si="2">G13/$B$4</f>
        <v>0.78107513913381887</v>
      </c>
      <c r="I13" s="46">
        <f t="shared" ref="I13:I18" si="3">1-H13</f>
        <v>0.21892486086618113</v>
      </c>
    </row>
    <row r="14" spans="1:9" x14ac:dyDescent="0.2">
      <c r="A14" s="4">
        <v>2</v>
      </c>
      <c r="B14" s="5">
        <v>46205</v>
      </c>
      <c r="C14" s="4">
        <f t="shared" si="1"/>
        <v>30</v>
      </c>
      <c r="D14" s="3">
        <f>$E$3</f>
        <v>25813.749755069988</v>
      </c>
      <c r="E14" s="3">
        <f>G13*$B$3/12</f>
        <v>6508.9594927818243</v>
      </c>
      <c r="F14" s="3">
        <f t="shared" si="0"/>
        <v>19304.790262288163</v>
      </c>
      <c r="G14" s="3">
        <f>G13-F14</f>
        <v>761770.34887153073</v>
      </c>
      <c r="H14" s="49">
        <f t="shared" si="2"/>
        <v>0.76177034887153072</v>
      </c>
      <c r="I14" s="46">
        <f t="shared" si="3"/>
        <v>0.23822965112846928</v>
      </c>
    </row>
    <row r="15" spans="1:9" x14ac:dyDescent="0.2">
      <c r="A15" s="4">
        <v>3</v>
      </c>
      <c r="B15" s="5">
        <v>46236</v>
      </c>
      <c r="C15" s="4">
        <f t="shared" si="1"/>
        <v>31</v>
      </c>
      <c r="D15" s="3">
        <f>$E$3</f>
        <v>25813.749755069988</v>
      </c>
      <c r="E15" s="3">
        <f>G14*$B$3/12</f>
        <v>6348.0862405960897</v>
      </c>
      <c r="F15" s="3">
        <f t="shared" si="0"/>
        <v>19465.663514473898</v>
      </c>
      <c r="G15" s="3">
        <f>G14-F15</f>
        <v>742304.68535705679</v>
      </c>
      <c r="H15" s="49">
        <f t="shared" si="2"/>
        <v>0.74230468535705674</v>
      </c>
      <c r="I15" s="46">
        <f t="shared" si="3"/>
        <v>0.25769531464294326</v>
      </c>
    </row>
    <row r="16" spans="1:9" x14ac:dyDescent="0.2">
      <c r="A16" s="4">
        <v>4</v>
      </c>
      <c r="B16" s="5">
        <v>46267</v>
      </c>
      <c r="C16" s="4">
        <f t="shared" si="1"/>
        <v>31</v>
      </c>
      <c r="D16" s="3">
        <f>$E$3</f>
        <v>25813.749755069988</v>
      </c>
      <c r="E16" s="3">
        <f>G15*$B$3/12</f>
        <v>6185.8723779754737</v>
      </c>
      <c r="F16" s="3">
        <f t="shared" si="0"/>
        <v>19627.877377094515</v>
      </c>
      <c r="G16" s="3">
        <f>G15-F16</f>
        <v>722676.80797996232</v>
      </c>
      <c r="H16" s="49">
        <f t="shared" si="2"/>
        <v>0.72267680797996237</v>
      </c>
      <c r="I16" s="46">
        <f t="shared" si="3"/>
        <v>0.27732319202003763</v>
      </c>
    </row>
    <row r="17" spans="1:9" x14ac:dyDescent="0.2">
      <c r="A17" s="4">
        <v>5</v>
      </c>
      <c r="B17" s="5">
        <v>46297</v>
      </c>
      <c r="C17" s="4">
        <f t="shared" si="1"/>
        <v>30</v>
      </c>
      <c r="D17" s="3">
        <f>$E$3</f>
        <v>25813.749755069988</v>
      </c>
      <c r="E17" s="3">
        <f>G16*$B$3/12</f>
        <v>6022.3067331663524</v>
      </c>
      <c r="F17" s="3">
        <f t="shared" si="0"/>
        <v>19791.443021903637</v>
      </c>
      <c r="G17" s="3">
        <f>G16-F17</f>
        <v>702885.36495805869</v>
      </c>
      <c r="H17" s="49">
        <f t="shared" si="2"/>
        <v>0.70288536495805864</v>
      </c>
      <c r="I17" s="46">
        <f t="shared" si="3"/>
        <v>0.29711463504194136</v>
      </c>
    </row>
    <row r="18" spans="1:9" x14ac:dyDescent="0.2">
      <c r="A18" s="4">
        <v>6</v>
      </c>
      <c r="B18" s="5">
        <v>46328</v>
      </c>
      <c r="C18" s="4">
        <f t="shared" si="1"/>
        <v>31</v>
      </c>
      <c r="D18" s="3">
        <f>G17+E18</f>
        <v>708937.9889340864</v>
      </c>
      <c r="E18" s="3">
        <f>G17*B3/12*C18/30</f>
        <v>6052.6239760277276</v>
      </c>
      <c r="F18" s="3">
        <f t="shared" si="0"/>
        <v>702885.36495805869</v>
      </c>
      <c r="G18" s="3">
        <f>F18-G17</f>
        <v>0</v>
      </c>
      <c r="H18" s="49">
        <f t="shared" si="2"/>
        <v>0</v>
      </c>
      <c r="I18" s="46">
        <f t="shared" si="3"/>
        <v>1</v>
      </c>
    </row>
    <row r="19" spans="1:9" x14ac:dyDescent="0.2">
      <c r="A19" s="1"/>
      <c r="B19" s="1"/>
      <c r="C19" s="1"/>
      <c r="D19" s="1"/>
      <c r="E19" s="1"/>
      <c r="F19" s="1"/>
      <c r="G19" s="1"/>
      <c r="H19" s="1"/>
    </row>
  </sheetData>
  <hyperlinks>
    <hyperlink ref="A1" location="Scenarios!C16" display="Scenario - 7" xr:uid="{11CF77AF-8897-B44D-8154-4783C24404BD}"/>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17B3B-1621-E248-82A3-9CE7A05C09D7}">
  <dimension ref="A1:I21"/>
  <sheetViews>
    <sheetView topLeftCell="A2" zoomScale="140" workbookViewId="0">
      <selection activeCell="A11" sqref="A11"/>
    </sheetView>
  </sheetViews>
  <sheetFormatPr baseColWidth="10" defaultRowHeight="16" x14ac:dyDescent="0.2"/>
  <cols>
    <col min="4" max="4" width="17.5" bestFit="1" customWidth="1"/>
    <col min="6" max="7" width="12.33203125" bestFit="1" customWidth="1"/>
  </cols>
  <sheetData>
    <row r="1" spans="1:9" x14ac:dyDescent="0.2">
      <c r="A1" s="30" t="s">
        <v>63</v>
      </c>
      <c r="B1" t="s">
        <v>35</v>
      </c>
    </row>
    <row r="2" spans="1:9" ht="51" x14ac:dyDescent="0.2">
      <c r="A2" s="25" t="s">
        <v>34</v>
      </c>
      <c r="B2" s="5">
        <v>46144</v>
      </c>
      <c r="C2" s="5"/>
      <c r="D2" s="25" t="s">
        <v>33</v>
      </c>
      <c r="E2" s="5">
        <v>46175</v>
      </c>
      <c r="F2" s="1"/>
      <c r="G2" s="1"/>
    </row>
    <row r="3" spans="1:9" ht="34" x14ac:dyDescent="0.2">
      <c r="A3" s="25" t="s">
        <v>31</v>
      </c>
      <c r="B3" s="29">
        <v>0.1</v>
      </c>
      <c r="C3" s="4"/>
      <c r="D3" s="25" t="s">
        <v>30</v>
      </c>
      <c r="E3" s="7">
        <f>PMT(B3/12,B7,-B6)</f>
        <v>25813.749755069988</v>
      </c>
      <c r="F3" s="1"/>
      <c r="G3" s="1"/>
    </row>
    <row r="4" spans="1:9" ht="34" x14ac:dyDescent="0.2">
      <c r="A4" s="25" t="s">
        <v>24</v>
      </c>
      <c r="B4" s="3">
        <v>1000000</v>
      </c>
      <c r="C4" s="4"/>
      <c r="D4" s="25" t="s">
        <v>64</v>
      </c>
      <c r="E4" s="5">
        <v>46306</v>
      </c>
      <c r="F4" s="1"/>
      <c r="G4" s="1"/>
    </row>
    <row r="5" spans="1:9" ht="34" x14ac:dyDescent="0.2">
      <c r="A5" s="25" t="s">
        <v>21</v>
      </c>
      <c r="B5" s="39">
        <f>20%*B4</f>
        <v>200000</v>
      </c>
      <c r="C5" s="4"/>
      <c r="D5" s="25" t="s">
        <v>65</v>
      </c>
      <c r="E5" s="3">
        <v>500000</v>
      </c>
      <c r="F5" s="1"/>
      <c r="G5" s="1"/>
    </row>
    <row r="6" spans="1:9" ht="34" x14ac:dyDescent="0.2">
      <c r="A6" s="25" t="s">
        <v>18</v>
      </c>
      <c r="B6" s="3">
        <f>B4-B5</f>
        <v>800000</v>
      </c>
      <c r="C6" s="4"/>
      <c r="D6" s="25"/>
      <c r="E6" s="4"/>
      <c r="F6" s="1"/>
      <c r="G6" s="1"/>
    </row>
    <row r="7" spans="1:9" ht="17" x14ac:dyDescent="0.2">
      <c r="A7" s="25" t="s">
        <v>15</v>
      </c>
      <c r="B7" s="4">
        <v>36</v>
      </c>
      <c r="C7" s="25" t="s">
        <v>14</v>
      </c>
      <c r="D7" s="4"/>
      <c r="E7" s="4"/>
      <c r="F7" s="1"/>
      <c r="G7" s="1"/>
    </row>
    <row r="8" spans="1:9" x14ac:dyDescent="0.2">
      <c r="A8" s="1"/>
      <c r="B8" s="1"/>
      <c r="C8" s="1"/>
      <c r="D8" s="1"/>
      <c r="E8" s="1"/>
      <c r="F8" s="1"/>
      <c r="G8" s="1"/>
    </row>
    <row r="9" spans="1:9" x14ac:dyDescent="0.2">
      <c r="A9" s="1"/>
      <c r="B9" s="1"/>
      <c r="C9" s="1"/>
      <c r="D9" s="1"/>
      <c r="E9" s="1"/>
      <c r="F9" s="1"/>
      <c r="G9" s="1"/>
    </row>
    <row r="10" spans="1:9" x14ac:dyDescent="0.2">
      <c r="A10" s="1"/>
      <c r="B10" s="1"/>
      <c r="C10" s="1"/>
      <c r="D10" s="1"/>
      <c r="E10" s="1"/>
      <c r="F10" s="1"/>
      <c r="G10" s="1"/>
    </row>
    <row r="11" spans="1:9" ht="34" x14ac:dyDescent="0.2">
      <c r="A11" s="25" t="s">
        <v>6</v>
      </c>
      <c r="B11" s="25" t="s">
        <v>5</v>
      </c>
      <c r="C11" s="25" t="s">
        <v>4</v>
      </c>
      <c r="D11" s="25" t="s">
        <v>3</v>
      </c>
      <c r="E11" s="25" t="s">
        <v>2</v>
      </c>
      <c r="F11" s="25" t="s">
        <v>1</v>
      </c>
      <c r="G11" s="25" t="s">
        <v>0</v>
      </c>
      <c r="H11" s="25" t="s">
        <v>13</v>
      </c>
      <c r="I11" s="25" t="s">
        <v>12</v>
      </c>
    </row>
    <row r="12" spans="1:9" x14ac:dyDescent="0.2">
      <c r="A12" s="4">
        <v>0</v>
      </c>
      <c r="B12" s="5">
        <f>B2</f>
        <v>46144</v>
      </c>
      <c r="C12" s="4"/>
      <c r="D12" s="4"/>
      <c r="E12" s="4"/>
      <c r="F12" s="4"/>
      <c r="G12" s="12">
        <f>B6</f>
        <v>800000</v>
      </c>
      <c r="H12" s="45">
        <f>G12/$B$4</f>
        <v>0.8</v>
      </c>
      <c r="I12" s="46">
        <f>1-H12</f>
        <v>0.19999999999999996</v>
      </c>
    </row>
    <row r="13" spans="1:9" x14ac:dyDescent="0.2">
      <c r="A13" s="15">
        <v>1</v>
      </c>
      <c r="B13" s="16">
        <v>46175</v>
      </c>
      <c r="C13" s="20">
        <f t="shared" ref="C13:C18" si="0">B13-B12</f>
        <v>31</v>
      </c>
      <c r="D13" s="20">
        <f>$E$3</f>
        <v>25813.749755069988</v>
      </c>
      <c r="E13" s="20">
        <f>G12*$B$3/12</f>
        <v>6666.666666666667</v>
      </c>
      <c r="F13" s="20">
        <f t="shared" ref="F13:F18" si="1">D13-E13</f>
        <v>19147.08308840332</v>
      </c>
      <c r="G13" s="20">
        <f t="shared" ref="G13:G18" si="2">G12-F13</f>
        <v>780852.91691159667</v>
      </c>
      <c r="H13" s="45">
        <f t="shared" ref="H13:H17" si="3">G13/$B$4</f>
        <v>0.78085291691159664</v>
      </c>
      <c r="I13" s="46">
        <f t="shared" ref="I13:I18" si="4">1-H13</f>
        <v>0.21914708308840336</v>
      </c>
    </row>
    <row r="14" spans="1:9" x14ac:dyDescent="0.2">
      <c r="A14" s="4">
        <v>2</v>
      </c>
      <c r="B14" s="5">
        <v>46205</v>
      </c>
      <c r="C14" s="3">
        <f t="shared" si="0"/>
        <v>30</v>
      </c>
      <c r="D14" s="3">
        <f>$E$3</f>
        <v>25813.749755069988</v>
      </c>
      <c r="E14" s="3">
        <f>G13*$B$3/12</f>
        <v>6507.1076409299721</v>
      </c>
      <c r="F14" s="3">
        <f t="shared" si="1"/>
        <v>19306.642114140017</v>
      </c>
      <c r="G14" s="3">
        <f t="shared" si="2"/>
        <v>761546.27479745669</v>
      </c>
      <c r="H14" s="45">
        <f t="shared" si="3"/>
        <v>0.76154627479745673</v>
      </c>
      <c r="I14" s="46">
        <f t="shared" si="4"/>
        <v>0.23845372520254327</v>
      </c>
    </row>
    <row r="15" spans="1:9" x14ac:dyDescent="0.2">
      <c r="A15" s="4">
        <v>3</v>
      </c>
      <c r="B15" s="5">
        <v>46236</v>
      </c>
      <c r="C15" s="3">
        <f t="shared" si="0"/>
        <v>31</v>
      </c>
      <c r="D15" s="3">
        <f>$E$3</f>
        <v>25813.749755069988</v>
      </c>
      <c r="E15" s="3">
        <f>G14*$B$3/12</f>
        <v>6346.2189566454726</v>
      </c>
      <c r="F15" s="3">
        <f t="shared" si="1"/>
        <v>19467.530798424516</v>
      </c>
      <c r="G15" s="3">
        <f t="shared" si="2"/>
        <v>742078.74399903219</v>
      </c>
      <c r="H15" s="45">
        <f t="shared" si="3"/>
        <v>0.74207874399903218</v>
      </c>
      <c r="I15" s="46">
        <f t="shared" si="4"/>
        <v>0.25792125600096782</v>
      </c>
    </row>
    <row r="16" spans="1:9" x14ac:dyDescent="0.2">
      <c r="A16" s="4">
        <v>4</v>
      </c>
      <c r="B16" s="5">
        <v>46267</v>
      </c>
      <c r="C16" s="3">
        <f t="shared" si="0"/>
        <v>31</v>
      </c>
      <c r="D16" s="3">
        <f>$E$3</f>
        <v>25813.749755069988</v>
      </c>
      <c r="E16" s="3">
        <f>G15*$B$3/12</f>
        <v>6183.989533325268</v>
      </c>
      <c r="F16" s="3">
        <f t="shared" si="1"/>
        <v>19629.76022174472</v>
      </c>
      <c r="G16" s="3">
        <f t="shared" si="2"/>
        <v>722448.98377728742</v>
      </c>
      <c r="H16" s="45">
        <f t="shared" si="3"/>
        <v>0.72244898377728739</v>
      </c>
      <c r="I16" s="46">
        <f t="shared" si="4"/>
        <v>0.27755101622271261</v>
      </c>
    </row>
    <row r="17" spans="1:9" x14ac:dyDescent="0.2">
      <c r="A17" s="4">
        <v>5</v>
      </c>
      <c r="B17" s="5">
        <v>46297</v>
      </c>
      <c r="C17" s="3">
        <f t="shared" si="0"/>
        <v>30</v>
      </c>
      <c r="D17" s="3">
        <f>$E$3</f>
        <v>25813.749755069988</v>
      </c>
      <c r="E17" s="3">
        <f>G16*$B$3/12</f>
        <v>6020.4081981440622</v>
      </c>
      <c r="F17" s="3">
        <f t="shared" si="1"/>
        <v>19793.341556925927</v>
      </c>
      <c r="G17" s="3">
        <f t="shared" si="2"/>
        <v>702655.64222036151</v>
      </c>
      <c r="H17" s="45">
        <f t="shared" si="3"/>
        <v>0.70265564222036148</v>
      </c>
      <c r="I17" s="46">
        <f t="shared" si="4"/>
        <v>0.29734435777963852</v>
      </c>
    </row>
    <row r="18" spans="1:9" x14ac:dyDescent="0.2">
      <c r="A18" s="42">
        <v>6</v>
      </c>
      <c r="B18" s="43">
        <f>E4</f>
        <v>46306</v>
      </c>
      <c r="C18" s="44">
        <f t="shared" si="0"/>
        <v>9</v>
      </c>
      <c r="D18" s="44">
        <v>500000</v>
      </c>
      <c r="E18" s="40">
        <v>0</v>
      </c>
      <c r="F18" s="44">
        <f t="shared" si="1"/>
        <v>500000</v>
      </c>
      <c r="G18" s="44">
        <f t="shared" si="2"/>
        <v>202655.64222036151</v>
      </c>
      <c r="H18" s="47">
        <f>F18/$B$4</f>
        <v>0.5</v>
      </c>
      <c r="I18" s="48">
        <f t="shared" si="4"/>
        <v>0.5</v>
      </c>
    </row>
    <row r="20" spans="1:9" x14ac:dyDescent="0.2">
      <c r="E20" s="3">
        <f>$G$17*$B$3/12*$C$18/30</f>
        <v>1756.6391055509037</v>
      </c>
      <c r="F20" t="s">
        <v>66</v>
      </c>
    </row>
    <row r="21" spans="1:9" x14ac:dyDescent="0.2">
      <c r="E21" s="41">
        <f>G18</f>
        <v>202655.64222036151</v>
      </c>
      <c r="F21" t="s">
        <v>67</v>
      </c>
    </row>
  </sheetData>
  <hyperlinks>
    <hyperlink ref="A1" location="Scenarios!C16" display="Scenario - 7" xr:uid="{D4B70948-8CAD-DC4B-BEEF-3AAB89F5DB2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Scenarios</vt:lpstr>
      <vt:lpstr>Disbursement and due date same</vt:lpstr>
      <vt:lpstr>Disbursement before 15</vt:lpstr>
      <vt:lpstr>Disbursement after 15</vt:lpstr>
      <vt:lpstr>Loan with deferral</vt:lpstr>
      <vt:lpstr>Part Payment received in BPI</vt:lpstr>
      <vt:lpstr>PP after BPI</vt:lpstr>
      <vt:lpstr>Foreclosure of loan</vt:lpstr>
      <vt:lpstr>OTS and Write off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Samridhi Malhan</dc:creator>
  <cp:lastModifiedBy>Samridhi Malhan</cp:lastModifiedBy>
  <dcterms:created xsi:type="dcterms:W3CDTF">2026-05-19T04:25:33Z</dcterms:created>
  <dcterms:modified xsi:type="dcterms:W3CDTF">2026-05-19T13:42:58Z</dcterms:modified>
</cp:coreProperties>
</file>